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03789e4345b5eb3/"/>
    </mc:Choice>
  </mc:AlternateContent>
  <xr:revisionPtr revIDLastSave="593" documentId="13_ncr:1_{635625DB-1FFF-8848-A28C-F98DD1657423}" xr6:coauthVersionLast="47" xr6:coauthVersionMax="47" xr10:uidLastSave="{00457CBB-AC49-4497-82CC-5D8E6F6F2DAD}"/>
  <bookViews>
    <workbookView xWindow="-120" yWindow="-120" windowWidth="20730" windowHeight="11040" firstSheet="3" activeTab="5" xr2:uid="{00000000-000D-0000-FFFF-FFFF00000000}"/>
  </bookViews>
  <sheets>
    <sheet name="Line Chart" sheetId="5" r:id="rId1"/>
    <sheet name="Bar Chart" sheetId="2" r:id="rId2"/>
    <sheet name="Engine size" sheetId="8" r:id="rId3"/>
    <sheet name="Car_sales" sheetId="1" r:id="rId4"/>
    <sheet name="Unit Sales" sheetId="7" r:id="rId5"/>
    <sheet name="Car_sales_Dashboard" sheetId="6" r:id="rId6"/>
  </sheets>
  <definedNames>
    <definedName name="Slicer_Manufacturer">#N/A</definedName>
  </definedNames>
  <calcPr calcId="191028"/>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c r="J94" i="1" a="1"/>
  <c r="J94" i="1" s="1"/>
  <c r="J95" i="1" a="1"/>
  <c r="J95" i="1" s="1"/>
  <c r="J96" i="1" a="1"/>
  <c r="J96" i="1" s="1"/>
  <c r="J97" i="1" a="1"/>
  <c r="J97" i="1"/>
  <c r="J98" i="1" a="1"/>
  <c r="J98" i="1" s="1"/>
  <c r="J99" i="1" a="1"/>
  <c r="J99" i="1" s="1"/>
  <c r="J100" i="1" a="1"/>
  <c r="J100" i="1" s="1"/>
  <c r="J101" i="1" a="1"/>
  <c r="J101" i="1"/>
  <c r="J102" i="1" a="1"/>
  <c r="J102" i="1" s="1"/>
  <c r="J103" i="1" a="1"/>
  <c r="J103" i="1" s="1"/>
  <c r="J104" i="1" a="1"/>
  <c r="J104" i="1" s="1"/>
  <c r="J105" i="1" a="1"/>
  <c r="J105" i="1"/>
  <c r="J106" i="1" a="1"/>
  <c r="J106" i="1" s="1"/>
  <c r="J107" i="1" a="1"/>
  <c r="J107" i="1" s="1"/>
  <c r="J108" i="1" a="1"/>
  <c r="J108" i="1" s="1"/>
  <c r="J109" i="1" a="1"/>
  <c r="J109" i="1"/>
  <c r="J110" i="1" a="1"/>
  <c r="J110" i="1" s="1"/>
  <c r="J111" i="1" a="1"/>
  <c r="J111" i="1" s="1"/>
  <c r="J112" i="1" a="1"/>
  <c r="J112" i="1" s="1"/>
  <c r="J113" i="1" a="1"/>
  <c r="J113" i="1"/>
  <c r="J114" i="1" a="1"/>
  <c r="J114" i="1" s="1"/>
  <c r="J115" i="1" a="1"/>
  <c r="J115" i="1" s="1"/>
  <c r="J116" i="1" a="1"/>
  <c r="J116" i="1" s="1"/>
  <c r="J117" i="1" a="1"/>
  <c r="J117" i="1"/>
  <c r="J118" i="1" a="1"/>
  <c r="J118" i="1" s="1"/>
  <c r="J119" i="1" a="1"/>
  <c r="J119" i="1" s="1"/>
  <c r="J120" i="1" a="1"/>
  <c r="J120" i="1" s="1"/>
  <c r="J121" i="1" a="1"/>
  <c r="J121" i="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<sst xmlns="http://schemas.openxmlformats.org/spreadsheetml/2006/main" count="525" uniqueCount="212">
  <si>
    <t>Row Labels</t>
  </si>
  <si>
    <t>Average of Retention %</t>
  </si>
  <si>
    <t>4Runner</t>
  </si>
  <si>
    <t>Avalon</t>
  </si>
  <si>
    <t>Camry</t>
  </si>
  <si>
    <t>Celica</t>
  </si>
  <si>
    <t>Corolla</t>
  </si>
  <si>
    <t>Land Cruiser</t>
  </si>
  <si>
    <t>RAV4</t>
  </si>
  <si>
    <t>Sienna</t>
  </si>
  <si>
    <t>Tacoma</t>
  </si>
  <si>
    <t>Grand Total</t>
  </si>
  <si>
    <t>Average of Year Resale Value</t>
  </si>
  <si>
    <t>Average of Price</t>
  </si>
  <si>
    <t>Manufacturer</t>
  </si>
  <si>
    <t>Model</t>
  </si>
  <si>
    <t>Unit Sales</t>
  </si>
  <si>
    <t>Price</t>
  </si>
  <si>
    <t>Year Resale Value</t>
  </si>
  <si>
    <t>Retention %</t>
  </si>
  <si>
    <t>Retention Value</t>
  </si>
  <si>
    <t>Engine Size</t>
  </si>
  <si>
    <t>Horsepower</t>
  </si>
  <si>
    <t>HP Level</t>
  </si>
  <si>
    <t>Vehicle_type</t>
  </si>
  <si>
    <t>Fuel Efficiency</t>
  </si>
  <si>
    <t>Power Perf Factor</t>
  </si>
  <si>
    <t>Fuel Capacity</t>
  </si>
  <si>
    <t>Wheelbase</t>
  </si>
  <si>
    <t>Width</t>
  </si>
  <si>
    <t>Length</t>
  </si>
  <si>
    <t>Curb Weight</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</si>
  <si>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</si>
  <si>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</si>
  <si>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</si>
  <si>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</si>
  <si>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</si>
  <si>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</si>
  <si>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</si>
  <si>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</si>
  <si>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</si>
  <si>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</si>
  <si>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</si>
  <si>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</si>
  <si>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</si>
  <si>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</si>
  <si>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</si>
  <si>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</si>
  <si>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</si>
  <si>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</si>
  <si>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</si>
  <si>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</si>
  <si>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</si>
  <si>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</si>
  <si>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</si>
  <si>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</si>
  <si>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</si>
  <si>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</si>
  <si>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</si>
  <si>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</si>
  <si>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</si>
  <si>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</si>
  <si>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</si>
  <si>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</si>
  <si>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</si>
  <si>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</si>
  <si>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</si>
  <si>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</si>
  <si>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</si>
  <si>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</si>
  <si>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</si>
  <si>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</si>
  <si>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</si>
  <si>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</si>
  <si>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</si>
  <si>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</si>
  <si>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</si>
  <si>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</si>
  <si>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</si>
  <si>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</si>
  <si>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</si>
  <si>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</si>
  <si>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</si>
  <si>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</si>
  <si>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</si>
  <si>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</si>
  <si>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</si>
  <si>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</si>
  <si>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</si>
  <si>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</si>
  <si>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</si>
  <si>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</si>
  <si>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</si>
  <si>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</si>
  <si>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</si>
  <si>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</si>
  <si>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</si>
  <si>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</si>
  <si>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</si>
  <si>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</si>
  <si>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</si>
  <si>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</si>
  <si>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</si>
  <si>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</si>
  <si>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</si>
  <si>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</si>
  <si>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</si>
  <si>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</si>
  <si>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</si>
  <si>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</si>
  <si>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</si>
  <si>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</si>
  <si>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</si>
  <si>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</si>
  <si>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</si>
  <si>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</si>
  <si>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</si>
  <si>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</si>
  <si>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</si>
  <si>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</si>
  <si>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</si>
  <si>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</si>
  <si>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</si>
  <si>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</si>
  <si>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</si>
  <si>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</si>
  <si>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</si>
  <si>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</si>
  <si>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</si>
  <si>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</si>
  <si>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</si>
  <si>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</si>
  <si>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</si>
  <si>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</si>
  <si>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</si>
  <si>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</si>
  <si>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</si>
  <si>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</si>
  <si>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</si>
  <si>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</si>
  <si>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</si>
  <si>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</si>
  <si>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</si>
  <si>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</si>
  <si>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</si>
  <si>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</si>
  <si>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</si>
  <si>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</si>
  <si>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</si>
  <si>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</si>
  <si>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</si>
  <si>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</si>
  <si>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</si>
  <si>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</si>
  <si>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</si>
  <si>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</si>
  <si>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</si>
  <si>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</si>
  <si>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</si>
  <si>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</si>
  <si>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</si>
  <si>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</si>
  <si>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</si>
  <si>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</si>
  <si>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</si>
  <si>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</si>
  <si>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</si>
  <si>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</si>
  <si>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</si>
  <si>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</si>
  <si>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</si>
  <si>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</si>
  <si>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</si>
  <si>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</si>
  <si>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</si>
  <si>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</si>
  <si>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</si>
  <si>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</si>
  <si>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</si>
  <si>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</si>
  <si>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</si>
  <si>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</si>
  <si>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</si>
  <si>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</si>
  <si>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</si>
  <si>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</si>
  <si>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</si>
  <si>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</si>
  <si>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</si>
  <si>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</si>
  <si>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</si>
  <si>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</si>
  <si>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</si>
  <si>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</si>
  <si>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</si>
  <si>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</si>
  <si>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Volkswagen</t>
  </si>
  <si>
    <t>Golf</t>
  </si>
  <si>
    <t>Jetta</t>
  </si>
  <si>
    <t>Passat</t>
  </si>
  <si>
    <t>Cabrio</t>
  </si>
  <si>
    <t>GTI</t>
  </si>
  <si>
    <t>Beetle</t>
  </si>
  <si>
    <t>Volvo</t>
  </si>
  <si>
    <t>S40</t>
  </si>
  <si>
    <t>V40</t>
  </si>
  <si>
    <t>S70</t>
  </si>
  <si>
    <t>V70</t>
  </si>
  <si>
    <t>C70</t>
  </si>
  <si>
    <t>S80</t>
  </si>
  <si>
    <t>Sum of Engine Size</t>
  </si>
  <si>
    <t>Sum of Unit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</si>
</sst>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9" fontId="0" fillId="0" borderId="0" xfId="0" applyNumberFormat="1"/>
    <xf numFmtId="167" fontId="0" fillId="0" borderId="0" xfId="0" applyNumberFormat="1"/>
    <xf numFmtId="44" fontId="0" fillId="0" borderId="0" xfId="0" applyNumberFormat="1"/>
    <xf numFmtId="1"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8">
    <dxf>
      <font>
        <b/>
        <i val="0"/>
        <color theme="9" tint="-0.499984740745262"/>
      </font>
      <fill>
        <patternFill>
          <bgColor theme="9" tint="0.59996337778862885"/>
        </patternFill>
      </fill>
    </dxf>
    <dxf>
      <font>
        <b/>
        <i val="0"/>
        <color rgb="FFFF0000"/>
      </font>
      <fill>
        <patternFill>
          <bgColor rgb="FFFFCCCC"/>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3" formatCode="0%"/>
    </dxf>
    <dxf>
      <numFmt numFmtId="13" formatCode="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Viz.xlsx]Line Chart!PivotTable4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retention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Chart'!$A$4:$A$11</c:f>
              <c:strCache>
                <c:ptCount val="7"/>
                <c:pt idx="0">
                  <c:v>Altima</c:v>
                </c:pt>
                <c:pt idx="1">
                  <c:v>Frontier</c:v>
                </c:pt>
                <c:pt idx="2">
                  <c:v>Maxima</c:v>
                </c:pt>
                <c:pt idx="3">
                  <c:v>Pathfinder</c:v>
                </c:pt>
                <c:pt idx="4">
                  <c:v>Quest</c:v>
                </c:pt>
                <c:pt idx="5">
                  <c:v>Sentra</c:v>
                </c:pt>
                <c:pt idx="6">
                  <c:v>Xterra</c:v>
                </c:pt>
              </c:strCache>
            </c:strRef>
          </c:cat>
          <c:val>
            <c:numRef>
              <c:f>'Line Chart'!$B$4:$B$11</c:f>
              <c:numCache>
                <c:formatCode>0%</c:formatCode>
                <c:ptCount val="7"/>
                <c:pt idx="0">
                  <c:v>0.55394801373222169</c:v>
                </c:pt>
                <c:pt idx="1">
                  <c:v>0.59642258244829516</c:v>
                </c:pt>
                <c:pt idx="2">
                  <c:v>0.57621242714008147</c:v>
                </c:pt>
                <c:pt idx="3">
                  <c:v>0.60787057578756953</c:v>
                </c:pt>
                <c:pt idx="4">
                  <c:v>0.58259782567521501</c:v>
                </c:pt>
                <c:pt idx="5">
                  <c:v>0.62597229424401812</c:v>
                </c:pt>
                <c:pt idx="6">
                  <c:v>0.57427957366551163</c:v>
                </c:pt>
              </c:numCache>
            </c:numRef>
          </c:val>
          <c:smooth val="0"/>
          <c:extLst>
            <c:ext xmlns:c16="http://schemas.microsoft.com/office/drawing/2014/chart" uri="{C3380CC4-5D6E-409C-BE32-E72D297353CC}">
              <c16:uniqueId val="{00000001-FD2F-462F-A934-0A8805FE8E53}"/>
            </c:ext>
          </c:extLst>
        </c:ser>
        <c:dLbls>
          <c:showLegendKey val="0"/>
          <c:showVal val="0"/>
          <c:showCatName val="0"/>
          <c:showSerName val="0"/>
          <c:showPercent val="0"/>
          <c:showBubbleSize val="0"/>
        </c:dLbls>
        <c:marker val="1"/>
        <c:smooth val="0"/>
        <c:axId val="1211083271"/>
        <c:axId val="544808967"/>
      </c:lineChart>
      <c:catAx>
        <c:axId val="1211083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08967"/>
        <c:crosses val="autoZero"/>
        <c:auto val="1"/>
        <c:lblAlgn val="ctr"/>
        <c:lblOffset val="100"/>
        <c:noMultiLvlLbl val="0"/>
      </c:catAx>
      <c:valAx>
        <c:axId val="544808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83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Viz.xlsx]Bar Chart!PivotTable4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Car Models vs 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solidFill>
            <a:ln>
              <a:noFill/>
            </a:ln>
            <a:effectLst/>
          </c:spPr>
          <c:invertIfNegative val="0"/>
          <c:cat>
            <c:strRef>
              <c:f>'Bar Chart'!$A$4:$A$11</c:f>
              <c:strCache>
                <c:ptCount val="7"/>
                <c:pt idx="0">
                  <c:v>Altima</c:v>
                </c:pt>
                <c:pt idx="1">
                  <c:v>Frontier</c:v>
                </c:pt>
                <c:pt idx="2">
                  <c:v>Maxima</c:v>
                </c:pt>
                <c:pt idx="3">
                  <c:v>Pathfinder</c:v>
                </c:pt>
                <c:pt idx="4">
                  <c:v>Quest</c:v>
                </c:pt>
                <c:pt idx="5">
                  <c:v>Sentra</c:v>
                </c:pt>
                <c:pt idx="6">
                  <c:v>Xterra</c:v>
                </c:pt>
              </c:strCache>
            </c:strRef>
          </c:cat>
          <c:val>
            <c:numRef>
              <c:f>'Bar Chart'!$B$4:$B$11</c:f>
              <c:numCache>
                <c:formatCode>"$"#,##0.00</c:formatCode>
                <c:ptCount val="7"/>
                <c:pt idx="0">
                  <c:v>11295</c:v>
                </c:pt>
                <c:pt idx="1">
                  <c:v>10670</c:v>
                </c:pt>
                <c:pt idx="2">
                  <c:v>15125</c:v>
                </c:pt>
                <c:pt idx="3">
                  <c:v>17810</c:v>
                </c:pt>
                <c:pt idx="4">
                  <c:v>15380</c:v>
                </c:pt>
                <c:pt idx="5">
                  <c:v>8450</c:v>
                </c:pt>
                <c:pt idx="6">
                  <c:v>13093</c:v>
                </c:pt>
              </c:numCache>
            </c:numRef>
          </c:val>
          <c:extLst>
            <c:ext xmlns:c16="http://schemas.microsoft.com/office/drawing/2014/chart" uri="{C3380CC4-5D6E-409C-BE32-E72D297353CC}">
              <c16:uniqueId val="{00000001-DBCF-459E-9756-ABB9F94D3058}"/>
            </c:ext>
          </c:extLst>
        </c:ser>
        <c:ser>
          <c:idx val="1"/>
          <c:order val="1"/>
          <c:tx>
            <c:strRef>
              <c:f>'Bar Chart'!$C$3</c:f>
              <c:strCache>
                <c:ptCount val="1"/>
                <c:pt idx="0">
                  <c:v>Average of Price</c:v>
                </c:pt>
              </c:strCache>
            </c:strRef>
          </c:tx>
          <c:spPr>
            <a:solidFill>
              <a:schemeClr val="accent2"/>
            </a:solidFill>
            <a:ln>
              <a:noFill/>
            </a:ln>
            <a:effectLst/>
          </c:spPr>
          <c:invertIfNegative val="0"/>
          <c:cat>
            <c:strRef>
              <c:f>'Bar Chart'!$A$4:$A$11</c:f>
              <c:strCache>
                <c:ptCount val="7"/>
                <c:pt idx="0">
                  <c:v>Altima</c:v>
                </c:pt>
                <c:pt idx="1">
                  <c:v>Frontier</c:v>
                </c:pt>
                <c:pt idx="2">
                  <c:v>Maxima</c:v>
                </c:pt>
                <c:pt idx="3">
                  <c:v>Pathfinder</c:v>
                </c:pt>
                <c:pt idx="4">
                  <c:v>Quest</c:v>
                </c:pt>
                <c:pt idx="5">
                  <c:v>Sentra</c:v>
                </c:pt>
                <c:pt idx="6">
                  <c:v>Xterra</c:v>
                </c:pt>
              </c:strCache>
            </c:strRef>
          </c:cat>
          <c:val>
            <c:numRef>
              <c:f>'Bar Chart'!$C$4:$C$11</c:f>
              <c:numCache>
                <c:formatCode>"$"#,##0.00</c:formatCode>
                <c:ptCount val="7"/>
                <c:pt idx="0">
                  <c:v>20390</c:v>
                </c:pt>
                <c:pt idx="1">
                  <c:v>17890</c:v>
                </c:pt>
                <c:pt idx="2">
                  <c:v>26249</c:v>
                </c:pt>
                <c:pt idx="3">
                  <c:v>29299</c:v>
                </c:pt>
                <c:pt idx="4">
                  <c:v>26399</c:v>
                </c:pt>
                <c:pt idx="5">
                  <c:v>13499</c:v>
                </c:pt>
                <c:pt idx="6">
                  <c:v>22799</c:v>
                </c:pt>
              </c:numCache>
            </c:numRef>
          </c:val>
          <c:extLst>
            <c:ext xmlns:c16="http://schemas.microsoft.com/office/drawing/2014/chart" uri="{C3380CC4-5D6E-409C-BE32-E72D297353CC}">
              <c16:uniqueId val="{00000003-DBCF-459E-9756-ABB9F94D3058}"/>
            </c:ext>
          </c:extLst>
        </c:ser>
        <c:dLbls>
          <c:showLegendKey val="0"/>
          <c:showVal val="0"/>
          <c:showCatName val="0"/>
          <c:showSerName val="0"/>
          <c:showPercent val="0"/>
          <c:showBubbleSize val="0"/>
        </c:dLbls>
        <c:gapWidth val="182"/>
        <c:axId val="1289937927"/>
        <c:axId val="1289940999"/>
      </c:barChart>
      <c:catAx>
        <c:axId val="1289937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 Model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40999"/>
        <c:crosses val="autoZero"/>
        <c:auto val="1"/>
        <c:lblAlgn val="ctr"/>
        <c:lblOffset val="100"/>
        <c:noMultiLvlLbl val="0"/>
      </c:catAx>
      <c:valAx>
        <c:axId val="1289940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Avereage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low"/>
        <c:spPr>
          <a:noFill/>
          <a:ln>
            <a:noFill/>
          </a:ln>
          <a:effectLst/>
        </c:spPr>
        <c:txPr>
          <a:bodyPr rot="-21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37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Viz.xlsx]Engine size!PivotTable3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Models Vs</a:t>
            </a:r>
            <a:r>
              <a:rPr lang="en-US" baseline="0"/>
              <a:t> </a:t>
            </a:r>
            <a:r>
              <a:rPr lang="en-US"/>
              <a:t>Engine Size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 size'!$B$1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 size'!$A$2:$A$9</c:f>
              <c:strCache>
                <c:ptCount val="7"/>
                <c:pt idx="0">
                  <c:v>Altima</c:v>
                </c:pt>
                <c:pt idx="1">
                  <c:v>Frontier</c:v>
                </c:pt>
                <c:pt idx="2">
                  <c:v>Maxima</c:v>
                </c:pt>
                <c:pt idx="3">
                  <c:v>Pathfinder</c:v>
                </c:pt>
                <c:pt idx="4">
                  <c:v>Quest</c:v>
                </c:pt>
                <c:pt idx="5">
                  <c:v>Sentra</c:v>
                </c:pt>
                <c:pt idx="6">
                  <c:v>Xterra</c:v>
                </c:pt>
              </c:strCache>
            </c:strRef>
          </c:cat>
          <c:val>
            <c:numRef>
              <c:f>'Engine size'!$B$2:$B$9</c:f>
              <c:numCache>
                <c:formatCode>General</c:formatCode>
                <c:ptCount val="7"/>
                <c:pt idx="0">
                  <c:v>2.4</c:v>
                </c:pt>
                <c:pt idx="1">
                  <c:v>3.3</c:v>
                </c:pt>
                <c:pt idx="2">
                  <c:v>3</c:v>
                </c:pt>
                <c:pt idx="3">
                  <c:v>3.3</c:v>
                </c:pt>
                <c:pt idx="4">
                  <c:v>3.3</c:v>
                </c:pt>
                <c:pt idx="5">
                  <c:v>1.8</c:v>
                </c:pt>
                <c:pt idx="6">
                  <c:v>3.3</c:v>
                </c:pt>
              </c:numCache>
            </c:numRef>
          </c:val>
          <c:extLst>
            <c:ext xmlns:c16="http://schemas.microsoft.com/office/drawing/2014/chart" uri="{C3380CC4-5D6E-409C-BE32-E72D297353CC}">
              <c16:uniqueId val="{00000000-1BD3-49A4-ADB9-87A59E1B7ECE}"/>
            </c:ext>
          </c:extLst>
        </c:ser>
        <c:dLbls>
          <c:dLblPos val="outEnd"/>
          <c:showLegendKey val="0"/>
          <c:showVal val="1"/>
          <c:showCatName val="0"/>
          <c:showSerName val="0"/>
          <c:showPercent val="0"/>
          <c:showBubbleSize val="0"/>
        </c:dLbls>
        <c:gapWidth val="219"/>
        <c:overlap val="-27"/>
        <c:axId val="1788720719"/>
        <c:axId val="1788722639"/>
      </c:barChart>
      <c:catAx>
        <c:axId val="17887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2639"/>
        <c:crosses val="autoZero"/>
        <c:auto val="1"/>
        <c:lblAlgn val="ctr"/>
        <c:lblOffset val="100"/>
        <c:noMultiLvlLbl val="0"/>
      </c:catAx>
      <c:valAx>
        <c:axId val="178872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Engine</a:t>
                </a:r>
                <a:r>
                  <a:rPr lang="en-US" baseline="0"/>
                  <a:t> Size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0719"/>
        <c:crosses val="autoZero"/>
        <c:crossBetween val="between"/>
      </c:valAx>
      <c:spPr>
        <a:noFill/>
        <a:ln>
          <a:noFill/>
        </a:ln>
        <a:effectLst>
          <a:glow rad="139700">
            <a:schemeClr val="accent2">
              <a:satMod val="175000"/>
              <a:alpha val="40000"/>
            </a:schemeClr>
          </a:glow>
          <a:outerShdw blurRad="63500" sx="102000" sy="102000" algn="ctr" rotWithShape="0">
            <a:schemeClr val="accent1">
              <a:alpha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Viz.xlsx]Unit Sales!PivotTable1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'Unit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37-4DC4-9F08-191AB01CD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37-4DC4-9F08-191AB01CD3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37-4DC4-9F08-191AB01CD3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37-4DC4-9F08-191AB01CD3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37-4DC4-9F08-191AB01CD3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A37-4DC4-9F08-191AB01CD3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A37-4DC4-9F08-191AB01CD3D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A37-4DC4-9F08-191AB01CD3D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A37-4DC4-9F08-191AB01CD3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 Sales'!$A$4:$A$11</c:f>
              <c:strCache>
                <c:ptCount val="7"/>
                <c:pt idx="0">
                  <c:v>Altima</c:v>
                </c:pt>
                <c:pt idx="1">
                  <c:v>Frontier</c:v>
                </c:pt>
                <c:pt idx="2">
                  <c:v>Maxima</c:v>
                </c:pt>
                <c:pt idx="3">
                  <c:v>Pathfinder</c:v>
                </c:pt>
                <c:pt idx="4">
                  <c:v>Quest</c:v>
                </c:pt>
                <c:pt idx="5">
                  <c:v>Sentra</c:v>
                </c:pt>
                <c:pt idx="6">
                  <c:v>Xterra</c:v>
                </c:pt>
              </c:strCache>
            </c:strRef>
          </c:cat>
          <c:val>
            <c:numRef>
              <c:f>'Unit Sales'!$B$4:$B$11</c:f>
              <c:numCache>
                <c:formatCode>0</c:formatCode>
                <c:ptCount val="7"/>
                <c:pt idx="0">
                  <c:v>88094</c:v>
                </c:pt>
                <c:pt idx="1">
                  <c:v>65004.999999999993</c:v>
                </c:pt>
                <c:pt idx="2">
                  <c:v>79853</c:v>
                </c:pt>
                <c:pt idx="3">
                  <c:v>42574</c:v>
                </c:pt>
                <c:pt idx="4">
                  <c:v>27308</c:v>
                </c:pt>
                <c:pt idx="5">
                  <c:v>42643</c:v>
                </c:pt>
                <c:pt idx="6">
                  <c:v>54158</c:v>
                </c:pt>
              </c:numCache>
            </c:numRef>
          </c:val>
          <c:extLst>
            <c:ext xmlns:c16="http://schemas.microsoft.com/office/drawing/2014/chart" uri="{C3380CC4-5D6E-409C-BE32-E72D297353CC}">
              <c16:uniqueId val="{00000000-0AE8-4371-9B6D-97B2ABB441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Viz.xlsx]Bar Chart!PivotTable4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Toyota</a:t>
            </a:r>
            <a:r>
              <a:rPr lang="en-US" baseline="0"/>
              <a:t> cars vs 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solidFill>
            <a:ln>
              <a:noFill/>
            </a:ln>
            <a:effectLst/>
          </c:spPr>
          <c:invertIfNegative val="0"/>
          <c:cat>
            <c:strRef>
              <c:f>'Bar Chart'!$A$4:$A$11</c:f>
              <c:strCache>
                <c:ptCount val="7"/>
                <c:pt idx="0">
                  <c:v>Altima</c:v>
                </c:pt>
                <c:pt idx="1">
                  <c:v>Frontier</c:v>
                </c:pt>
                <c:pt idx="2">
                  <c:v>Maxima</c:v>
                </c:pt>
                <c:pt idx="3">
                  <c:v>Pathfinder</c:v>
                </c:pt>
                <c:pt idx="4">
                  <c:v>Quest</c:v>
                </c:pt>
                <c:pt idx="5">
                  <c:v>Sentra</c:v>
                </c:pt>
                <c:pt idx="6">
                  <c:v>Xterra</c:v>
                </c:pt>
              </c:strCache>
            </c:strRef>
          </c:cat>
          <c:val>
            <c:numRef>
              <c:f>'Bar Chart'!$B$4:$B$11</c:f>
              <c:numCache>
                <c:formatCode>"$"#,##0.00</c:formatCode>
                <c:ptCount val="7"/>
                <c:pt idx="0">
                  <c:v>11295</c:v>
                </c:pt>
                <c:pt idx="1">
                  <c:v>10670</c:v>
                </c:pt>
                <c:pt idx="2">
                  <c:v>15125</c:v>
                </c:pt>
                <c:pt idx="3">
                  <c:v>17810</c:v>
                </c:pt>
                <c:pt idx="4">
                  <c:v>15380</c:v>
                </c:pt>
                <c:pt idx="5">
                  <c:v>8450</c:v>
                </c:pt>
                <c:pt idx="6">
                  <c:v>13093</c:v>
                </c:pt>
              </c:numCache>
            </c:numRef>
          </c:val>
          <c:extLst>
            <c:ext xmlns:c16="http://schemas.microsoft.com/office/drawing/2014/chart" uri="{C3380CC4-5D6E-409C-BE32-E72D297353CC}">
              <c16:uniqueId val="{00000000-DF56-4446-AE01-9331E183F62C}"/>
            </c:ext>
          </c:extLst>
        </c:ser>
        <c:ser>
          <c:idx val="1"/>
          <c:order val="1"/>
          <c:tx>
            <c:strRef>
              <c:f>'Bar Chart'!$C$3</c:f>
              <c:strCache>
                <c:ptCount val="1"/>
                <c:pt idx="0">
                  <c:v>Average of Price</c:v>
                </c:pt>
              </c:strCache>
            </c:strRef>
          </c:tx>
          <c:spPr>
            <a:solidFill>
              <a:schemeClr val="accent2"/>
            </a:solidFill>
            <a:ln>
              <a:noFill/>
            </a:ln>
            <a:effectLst/>
          </c:spPr>
          <c:invertIfNegative val="0"/>
          <c:cat>
            <c:strRef>
              <c:f>'Bar Chart'!$A$4:$A$11</c:f>
              <c:strCache>
                <c:ptCount val="7"/>
                <c:pt idx="0">
                  <c:v>Altima</c:v>
                </c:pt>
                <c:pt idx="1">
                  <c:v>Frontier</c:v>
                </c:pt>
                <c:pt idx="2">
                  <c:v>Maxima</c:v>
                </c:pt>
                <c:pt idx="3">
                  <c:v>Pathfinder</c:v>
                </c:pt>
                <c:pt idx="4">
                  <c:v>Quest</c:v>
                </c:pt>
                <c:pt idx="5">
                  <c:v>Sentra</c:v>
                </c:pt>
                <c:pt idx="6">
                  <c:v>Xterra</c:v>
                </c:pt>
              </c:strCache>
            </c:strRef>
          </c:cat>
          <c:val>
            <c:numRef>
              <c:f>'Bar Chart'!$C$4:$C$11</c:f>
              <c:numCache>
                <c:formatCode>"$"#,##0.00</c:formatCode>
                <c:ptCount val="7"/>
                <c:pt idx="0">
                  <c:v>20390</c:v>
                </c:pt>
                <c:pt idx="1">
                  <c:v>17890</c:v>
                </c:pt>
                <c:pt idx="2">
                  <c:v>26249</c:v>
                </c:pt>
                <c:pt idx="3">
                  <c:v>29299</c:v>
                </c:pt>
                <c:pt idx="4">
                  <c:v>26399</c:v>
                </c:pt>
                <c:pt idx="5">
                  <c:v>13499</c:v>
                </c:pt>
                <c:pt idx="6">
                  <c:v>22799</c:v>
                </c:pt>
              </c:numCache>
            </c:numRef>
          </c:val>
          <c:extLst>
            <c:ext xmlns:c16="http://schemas.microsoft.com/office/drawing/2014/chart" uri="{C3380CC4-5D6E-409C-BE32-E72D297353CC}">
              <c16:uniqueId val="{00000001-DF56-4446-AE01-9331E183F62C}"/>
            </c:ext>
          </c:extLst>
        </c:ser>
        <c:dLbls>
          <c:showLegendKey val="0"/>
          <c:showVal val="0"/>
          <c:showCatName val="0"/>
          <c:showSerName val="0"/>
          <c:showPercent val="0"/>
          <c:showBubbleSize val="0"/>
        </c:dLbls>
        <c:gapWidth val="182"/>
        <c:axId val="1289937927"/>
        <c:axId val="1289940999"/>
      </c:barChart>
      <c:catAx>
        <c:axId val="1289937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 Model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40999"/>
        <c:crosses val="autoZero"/>
        <c:auto val="1"/>
        <c:lblAlgn val="ctr"/>
        <c:lblOffset val="100"/>
        <c:noMultiLvlLbl val="0"/>
      </c:catAx>
      <c:valAx>
        <c:axId val="1289940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Avereage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low"/>
        <c:spPr>
          <a:noFill/>
          <a:ln>
            <a:noFill/>
          </a:ln>
          <a:effectLst/>
        </c:spPr>
        <c:txPr>
          <a:bodyPr rot="-21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37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Viz.xlsx]Line Chart!PivotTable4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retention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Chart'!$A$4:$A$11</c:f>
              <c:strCache>
                <c:ptCount val="7"/>
                <c:pt idx="0">
                  <c:v>Altima</c:v>
                </c:pt>
                <c:pt idx="1">
                  <c:v>Frontier</c:v>
                </c:pt>
                <c:pt idx="2">
                  <c:v>Maxima</c:v>
                </c:pt>
                <c:pt idx="3">
                  <c:v>Pathfinder</c:v>
                </c:pt>
                <c:pt idx="4">
                  <c:v>Quest</c:v>
                </c:pt>
                <c:pt idx="5">
                  <c:v>Sentra</c:v>
                </c:pt>
                <c:pt idx="6">
                  <c:v>Xterra</c:v>
                </c:pt>
              </c:strCache>
            </c:strRef>
          </c:cat>
          <c:val>
            <c:numRef>
              <c:f>'Line Chart'!$B$4:$B$11</c:f>
              <c:numCache>
                <c:formatCode>0%</c:formatCode>
                <c:ptCount val="7"/>
                <c:pt idx="0">
                  <c:v>0.55394801373222169</c:v>
                </c:pt>
                <c:pt idx="1">
                  <c:v>0.59642258244829516</c:v>
                </c:pt>
                <c:pt idx="2">
                  <c:v>0.57621242714008147</c:v>
                </c:pt>
                <c:pt idx="3">
                  <c:v>0.60787057578756953</c:v>
                </c:pt>
                <c:pt idx="4">
                  <c:v>0.58259782567521501</c:v>
                </c:pt>
                <c:pt idx="5">
                  <c:v>0.62597229424401812</c:v>
                </c:pt>
                <c:pt idx="6">
                  <c:v>0.57427957366551163</c:v>
                </c:pt>
              </c:numCache>
            </c:numRef>
          </c:val>
          <c:smooth val="0"/>
          <c:extLst>
            <c:ext xmlns:c16="http://schemas.microsoft.com/office/drawing/2014/chart" uri="{C3380CC4-5D6E-409C-BE32-E72D297353CC}">
              <c16:uniqueId val="{00000000-7DD3-423C-BB4E-A16EE941A76A}"/>
            </c:ext>
          </c:extLst>
        </c:ser>
        <c:dLbls>
          <c:dLblPos val="t"/>
          <c:showLegendKey val="0"/>
          <c:showVal val="1"/>
          <c:showCatName val="0"/>
          <c:showSerName val="0"/>
          <c:showPercent val="0"/>
          <c:showBubbleSize val="0"/>
        </c:dLbls>
        <c:marker val="1"/>
        <c:smooth val="0"/>
        <c:axId val="1211083271"/>
        <c:axId val="544808967"/>
      </c:lineChart>
      <c:catAx>
        <c:axId val="1211083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08967"/>
        <c:crosses val="autoZero"/>
        <c:auto val="1"/>
        <c:lblAlgn val="ctr"/>
        <c:lblOffset val="100"/>
        <c:noMultiLvlLbl val="0"/>
      </c:catAx>
      <c:valAx>
        <c:axId val="544808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83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Viz.xlsx]Unit Sales!PivotTable1</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Unit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'Unit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8B9-4CA3-AA8C-CC4C3D8D0D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8B9-4CA3-AA8C-CC4C3D8D0D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8B9-4CA3-AA8C-CC4C3D8D0D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8B9-4CA3-AA8C-CC4C3D8D0D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68B9-4CA3-AA8C-CC4C3D8D0D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68B9-4CA3-AA8C-CC4C3D8D0D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68B9-4CA3-AA8C-CC4C3D8D0D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68B9-4CA3-AA8C-CC4C3D8D0DB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68B9-4CA3-AA8C-CC4C3D8D0D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'Unit Sales'!$A$4:$A$11</c:f>
              <c:strCache>
                <c:ptCount val="7"/>
                <c:pt idx="0">
                  <c:v>Altima</c:v>
                </c:pt>
                <c:pt idx="1">
                  <c:v>Frontier</c:v>
                </c:pt>
                <c:pt idx="2">
                  <c:v>Maxima</c:v>
                </c:pt>
                <c:pt idx="3">
                  <c:v>Pathfinder</c:v>
                </c:pt>
                <c:pt idx="4">
                  <c:v>Quest</c:v>
                </c:pt>
                <c:pt idx="5">
                  <c:v>Sentra</c:v>
                </c:pt>
                <c:pt idx="6">
                  <c:v>Xterra</c:v>
                </c:pt>
              </c:strCache>
            </c:strRef>
          </c:cat>
          <c:val>
            <c:numRef>
              <c:f>'Unit Sales'!$B$4:$B$11</c:f>
              <c:numCache>
                <c:formatCode>0</c:formatCode>
                <c:ptCount val="7"/>
                <c:pt idx="0">
                  <c:v>88094</c:v>
                </c:pt>
                <c:pt idx="1">
                  <c:v>65004.999999999993</c:v>
                </c:pt>
                <c:pt idx="2">
                  <c:v>79853</c:v>
                </c:pt>
                <c:pt idx="3">
                  <c:v>42574</c:v>
                </c:pt>
                <c:pt idx="4">
                  <c:v>27308</c:v>
                </c:pt>
                <c:pt idx="5">
                  <c:v>42643</c:v>
                </c:pt>
                <c:pt idx="6">
                  <c:v>54158</c:v>
                </c:pt>
              </c:numCache>
            </c:numRef>
          </c:val>
          <c:extLst>
            <c:ext xmlns:c16="http://schemas.microsoft.com/office/drawing/2014/chart" uri="{C3380CC4-5D6E-409C-BE32-E72D297353CC}">
              <c16:uniqueId val="{00000012-68B9-4CA3-AA8C-CC4C3D8D0D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[Car_Sales_Data_Cleaning And Viz.xlsx]Engine size!PivotTable3</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Models Vs</a:t>
            </a:r>
            <a:r>
              <a:rPr lang="en-US" baseline="0"/>
              <a:t> </a:t>
            </a:r>
            <a:r>
              <a:rPr lang="en-US"/>
              <a:t>Engine Size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 size'!$B$1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 size'!$A$2:$A$9</c:f>
              <c:strCache>
                <c:ptCount val="7"/>
                <c:pt idx="0">
                  <c:v>Altima</c:v>
                </c:pt>
                <c:pt idx="1">
                  <c:v>Frontier</c:v>
                </c:pt>
                <c:pt idx="2">
                  <c:v>Maxima</c:v>
                </c:pt>
                <c:pt idx="3">
                  <c:v>Pathfinder</c:v>
                </c:pt>
                <c:pt idx="4">
                  <c:v>Quest</c:v>
                </c:pt>
                <c:pt idx="5">
                  <c:v>Sentra</c:v>
                </c:pt>
                <c:pt idx="6">
                  <c:v>Xterra</c:v>
                </c:pt>
              </c:strCache>
            </c:strRef>
          </c:cat>
          <c:val>
            <c:numRef>
              <c:f>'Engine size'!$B$2:$B$9</c:f>
              <c:numCache>
                <c:formatCode>General</c:formatCode>
                <c:ptCount val="7"/>
                <c:pt idx="0">
                  <c:v>2.4</c:v>
                </c:pt>
                <c:pt idx="1">
                  <c:v>3.3</c:v>
                </c:pt>
                <c:pt idx="2">
                  <c:v>3</c:v>
                </c:pt>
                <c:pt idx="3">
                  <c:v>3.3</c:v>
                </c:pt>
                <c:pt idx="4">
                  <c:v>3.3</c:v>
                </c:pt>
                <c:pt idx="5">
                  <c:v>1.8</c:v>
                </c:pt>
                <c:pt idx="6">
                  <c:v>3.3</c:v>
                </c:pt>
              </c:numCache>
            </c:numRef>
          </c:val>
          <c:extLst>
            <c:ext xmlns:c16="http://schemas.microsoft.com/office/drawing/2014/chart" uri="{C3380CC4-5D6E-409C-BE32-E72D297353CC}">
              <c16:uniqueId val="{00000000-55A1-4DAB-B3D4-C1A02FA724AA}"/>
            </c:ext>
          </c:extLst>
        </c:ser>
        <c:dLbls>
          <c:dLblPos val="outEnd"/>
          <c:showLegendKey val="0"/>
          <c:showVal val="1"/>
          <c:showCatName val="0"/>
          <c:showSerName val="0"/>
          <c:showPercent val="0"/>
          <c:showBubbleSize val="0"/>
        </c:dLbls>
        <c:gapWidth val="219"/>
        <c:overlap val="-27"/>
        <c:axId val="1788720719"/>
        <c:axId val="1788722639"/>
      </c:barChart>
      <c:catAx>
        <c:axId val="17887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2639"/>
        <c:crosses val="autoZero"/>
        <c:auto val="1"/>
        <c:lblAlgn val="ctr"/>
        <c:lblOffset val="100"/>
        <c:noMultiLvlLbl val="0"/>
      </c:catAx>
      <c:valAx>
        <c:axId val="178872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Engine</a:t>
                </a:r>
                <a:r>
                  <a:rPr lang="en-US" baseline="0"/>
                  <a:t> Size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0719"/>
        <c:crosses val="autoZero"/>
        <c:crossBetween val="between"/>
      </c:valAx>
      <c:spPr>
        <a:noFill/>
        <a:ln>
          <a:noFill/>
        </a:ln>
        <a:effectLst>
          <a:glow rad="139700">
            <a:schemeClr val="accent2">
              <a:satMod val="175000"/>
              <a:alpha val="40000"/>
            </a:schemeClr>
          </a:glow>
          <a:outerShdw blurRad="63500" sx="102000" sy="102000" algn="ctr" rotWithShape="0">
            <a:schemeClr val="accent1">
              <a:alpha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1038225</xdr:colOff>
      <xdr:row>1</xdr:row>
      <xdr:rowOff>161925</xdr:rowOff>
    </xdr:from>
    <xdr:to>
      <xdr:col>6</xdr:col>
      <xdr:colOff>714375</xdr:colOff>
      <xdr:row>16</xdr:row>
      <xdr:rowOff>47625</xdr:rowOff>
    </xdr:to>
    <xdr:graphicFrame macro="">
      <xdr:nvGraphicFramePr>
        <xdr:cNvPr id="2" name="Chart 1">
          <a:extLst>
            <a:ext uri="{FF2B5EF4-FFF2-40B4-BE49-F238E27FC236}">
              <a16:creationId xmlns:a16="http://schemas.microsoft.com/office/drawing/2014/main" id="{C765C449-4C81-0230-1786-C89841902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1438275</xdr:colOff>
      <xdr:row>2</xdr:row>
      <xdr:rowOff>28575</xdr:rowOff>
    </xdr:from>
    <xdr:to>
      <xdr:col>11</xdr:col>
      <xdr:colOff>219075</xdr:colOff>
      <xdr:row>15</xdr:row>
      <xdr:rowOff>76200</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3130788F-607F-40EF-7F2C-990669F9B5CD}"/>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8696325"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1447800</xdr:colOff>
      <xdr:row>1</xdr:row>
      <xdr:rowOff>152399</xdr:rowOff>
    </xdr:from>
    <xdr:to>
      <xdr:col>9</xdr:col>
      <xdr:colOff>381000</xdr:colOff>
      <xdr:row>18</xdr:row>
      <xdr:rowOff>104774</xdr:rowOff>
    </xdr:to>
    <xdr:graphicFrame macro="">
      <xdr:nvGraphicFramePr>
        <xdr:cNvPr id="2" name="Chart 1">
          <a:extLst>
            <a:ext uri="{FF2B5EF4-FFF2-40B4-BE49-F238E27FC236}">
              <a16:creationId xmlns:a16="http://schemas.microsoft.com/office/drawing/2014/main" id="{D9299438-194A-2D27-45F4-20F0A62F7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1</xdr:row>
      <xdr:rowOff>47625</xdr:rowOff>
    </xdr:from>
    <xdr:to>
      <xdr:col>9</xdr:col>
      <xdr:colOff>409575</xdr:colOff>
      <xdr:row>15</xdr:row>
      <xdr:rowOff>123825</xdr:rowOff>
    </xdr:to>
    <xdr:graphicFrame macro="">
      <xdr:nvGraphicFramePr>
        <xdr:cNvPr id="2" name="Chart 1">
          <a:extLst>
            <a:ext uri="{FF2B5EF4-FFF2-40B4-BE49-F238E27FC236}">
              <a16:creationId xmlns:a16="http://schemas.microsoft.com/office/drawing/2014/main" id="{4C61FD72-B257-7804-7C3E-60ADBD155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138112</xdr:colOff>
      <xdr:row>0</xdr:row>
      <xdr:rowOff>176212</xdr:rowOff>
    </xdr:from>
    <xdr:to>
      <xdr:col>10</xdr:col>
      <xdr:colOff>442912</xdr:colOff>
      <xdr:row>15</xdr:row>
      <xdr:rowOff>61912</xdr:rowOff>
    </xdr:to>
    <xdr:graphicFrame macro="">
      <xdr:nvGraphicFramePr>
        <xdr:cNvPr id="6" name="Chart 5">
          <a:extLst>
            <a:ext uri="{FF2B5EF4-FFF2-40B4-BE49-F238E27FC236}">
              <a16:creationId xmlns:a16="http://schemas.microsoft.com/office/drawing/2014/main" id="{1E110163-3E74-BC4F-D139-96604DF02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16</xdr:row>
      <xdr:rowOff>142875</xdr:rowOff>
    </xdr:to>
    <xdr:graphicFrame macro="">
      <xdr:nvGraphicFramePr>
        <xdr:cNvPr id="3" name="Chart 2">
          <a:extLst>
            <a:ext uri="{FF2B5EF4-FFF2-40B4-BE49-F238E27FC236}">
              <a16:creationId xmlns:a16="http://schemas.microsoft.com/office/drawing/2014/main" id="{FBA49DF4-2EC0-49E9-9A06-767935F14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295275</xdr:colOff>
      <xdr:row>0</xdr:row>
      <xdr:rowOff>0</xdr:rowOff>
    </xdr:from>
    <xdr:to>
      <xdr:col>18</xdr:col>
      <xdr:colOff>0</xdr:colOff>
      <xdr:row>16</xdr:row>
      <xdr:rowOff>123824</xdr:rowOff>
    </xdr:to>
    <xdr:graphicFrame macro="">
      <xdr:nvGraphicFramePr>
        <xdr:cNvPr id="4" name="Chart 3">
          <a:extLst>
            <a:ext uri="{FF2B5EF4-FFF2-40B4-BE49-F238E27FC236}">
              <a16:creationId xmlns:a16="http://schemas.microsoft.com/office/drawing/2014/main" id="{076D4480-9E92-4783-8A24-E9D8879BA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285750</xdr:colOff>
      <xdr:row>0</xdr:row>
      <xdr:rowOff>19050</xdr:rowOff>
    </xdr:from>
    <xdr:to>
      <xdr:col>10</xdr:col>
      <xdr:colOff>285750</xdr:colOff>
      <xdr:row>16</xdr:row>
      <xdr:rowOff>161925</xdr:rowOff>
    </xdr:to>
    <mc:AlternateContent xmlns:mc="http://schemas.openxmlformats.org/markup-compatibility/2006" xmlns:a14="http://schemas.microsoft.com/office/drawing/2010/main">
      <mc:Choice Requires="a14">
        <xdr:graphicFrame macro="">
          <xdr:nvGraphicFramePr>
            <xdr:cNvPr id="5" name="Manufacturer 1">
              <a:extLst>
                <a:ext uri="{FF2B5EF4-FFF2-40B4-BE49-F238E27FC236}">
                  <a16:creationId xmlns:a16="http://schemas.microsoft.com/office/drawing/2014/main" id="{6F932BAE-6E40-4F4F-AEBE-20B345783E14}"/>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4572000" y="19050"/>
              <a:ext cx="1836964" cy="3190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40819</xdr:colOff>
      <xdr:row>16</xdr:row>
      <xdr:rowOff>163285</xdr:rowOff>
    </xdr:from>
    <xdr:to>
      <xdr:col>8</xdr:col>
      <xdr:colOff>394608</xdr:colOff>
      <xdr:row>35</xdr:row>
      <xdr:rowOff>1</xdr:rowOff>
    </xdr:to>
    <xdr:graphicFrame macro="">
      <xdr:nvGraphicFramePr>
        <xdr:cNvPr id="6" name="Chart 5">
          <a:extLst>
            <a:ext uri="{FF2B5EF4-FFF2-40B4-BE49-F238E27FC236}">
              <a16:creationId xmlns:a16="http://schemas.microsoft.com/office/drawing/2014/main" id="{C43E3062-7438-466E-A9E3-4E388BBF1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425904</xdr:colOff>
      <xdr:row>16</xdr:row>
      <xdr:rowOff>174171</xdr:rowOff>
    </xdr:from>
    <xdr:to>
      <xdr:col>17</xdr:col>
      <xdr:colOff>589190</xdr:colOff>
      <xdr:row>35</xdr:row>
      <xdr:rowOff>65314</xdr:rowOff>
    </xdr:to>
    <xdr:graphicFrame macro="">
      <xdr:nvGraphicFramePr>
        <xdr:cNvPr id="7" name="Chart 6">
          <a:extLst>
            <a:ext uri="{FF2B5EF4-FFF2-40B4-BE49-F238E27FC236}">
              <a16:creationId xmlns:a16="http://schemas.microsoft.com/office/drawing/2014/main" id="{56ED5358-8533-4E4D-AAF0-390C65045056}"/>
            </a:ext>
            <a:ext uri="{147F2762-F138-4A5C-976F-8EAC2B608ADB}">
              <a16:predDERef xmlns:a16="http://schemas.microsoft.com/office/drawing/2014/main" pred="{C43E3062-7438-466E-A9E3-4E388BBF1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_PS" refreshedDate="46079.11887395833" createdVersion="6" refreshedVersion="8" minRefreshableVersion="3" recordCount="155" xr:uid="{83312433-19CD-482C-8AD5-DC33EF26DB9D}">
  <cacheSource type="worksheet">
    <worksheetSource name="Table1"/>
  </cacheSource>
  <cacheFields count="20">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Unit Sales" numFmtId="1">
      <sharedItems containsSemiMixedTypes="0" containsString="0" containsNumber="1" minValue="110" maxValue="540561"/>
    </cacheField>
    <cacheField name="Price" numFmtId="165">
      <sharedItems containsSemiMixedTypes="0" containsString="0" containsNumber="1" minValue="9235" maxValue="85500"/>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Vehicle_type" numFmtId="0">
      <sharedItems/>
    </cacheField>
    <cacheField name="Fuel Efficiency" numFmtId="0">
      <sharedItems containsSemiMixedTypes="0" containsString="0" containsNumber="1" containsInteger="1" minValue="15" maxValue="45"/>
    </cacheField>
    <cacheField name="Power Perf Factor" numFmtId="0">
      <sharedItems containsSemiMixedTypes="0" containsString="0" containsNumber="1" minValue="23.276272330000001" maxValue="188.14432300000001"/>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Latest Launch" numFmtId="14">
      <sharedItems containsSemiMixedTypes="0" containsNonDate="0" containsDate="1" containsString="0" minDate="2008-02-13T00:00:00" maxDate="2012-12-30T00:00:00"/>
    </cacheField>
    <cacheField name="Total Model Sales" numFmtId="0" formula="Price*'Unit Sales'" databaseField="0"/>
  </cacheFields>
  <extLst>
    <ext xmlns:x14="http://schemas.microsoft.com/office/spreadsheetml/2009/9/main" uri="{725AE2AE-9491-48be-B2B4-4EB974FC3084}">
      <x14:pivotCacheDefinition pivotCacheId="654049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n v="16919"/>
    <n v="21500"/>
    <n v="16360"/>
    <n v="0.76093023255813952"/>
    <s v="GOOD"/>
    <n v="1.8"/>
    <n v="140"/>
    <s v="Medium HP"/>
    <s v="Passenger"/>
    <n v="28"/>
    <n v="58.280149520000002"/>
    <n v="101.2"/>
    <n v="67.3"/>
    <n v="172.4"/>
    <n v="2.6389999999999998"/>
    <n v="13.2"/>
    <d v="2012-02-02T00:00:00"/>
  </r>
  <r>
    <x v="0"/>
    <x v="1"/>
    <n v="39384"/>
    <n v="28400"/>
    <n v="19875"/>
    <n v="0.69982394366197187"/>
    <s v="GOOD"/>
    <n v="3.2"/>
    <n v="225"/>
    <s v="Medium HP"/>
    <s v="Passenger"/>
    <n v="25"/>
    <n v="91.370777660000002"/>
    <n v="108.1"/>
    <n v="70.3"/>
    <n v="192.9"/>
    <n v="3.5169999999999999"/>
    <n v="17.2"/>
    <d v="2011-06-03T00:00:00"/>
  </r>
  <r>
    <x v="0"/>
    <x v="2"/>
    <n v="8588"/>
    <n v="42000"/>
    <n v="29725"/>
    <n v="0.70773809523809528"/>
    <s v="GOOD"/>
    <n v="3.5"/>
    <n v="210"/>
    <s v="Medium HP"/>
    <s v="Passenger"/>
    <n v="22"/>
    <n v="91.389779329999996"/>
    <n v="114.6"/>
    <n v="71.400000000000006"/>
    <n v="196.6"/>
    <n v="3.85"/>
    <n v="18"/>
    <d v="2011-03-10T00:00:00"/>
  </r>
  <r>
    <x v="1"/>
    <x v="3"/>
    <n v="20397"/>
    <n v="23990"/>
    <n v="22255"/>
    <n v="0.92767819924968742"/>
    <s v="GOOD"/>
    <n v="1.8"/>
    <n v="150"/>
    <s v="Medium HP"/>
    <s v="Passenger"/>
    <n v="27"/>
    <n v="62.777639200000003"/>
    <n v="102.6"/>
    <n v="68.2"/>
    <n v="178"/>
    <n v="2.9980000000000002"/>
    <n v="16.399999999999999"/>
    <d v="2011-10-08T00:00:00"/>
  </r>
  <r>
    <x v="1"/>
    <x v="4"/>
    <n v="18780"/>
    <n v="33950"/>
    <n v="23555"/>
    <n v="0.6938144329896907"/>
    <s v="GOOD"/>
    <n v="2.8"/>
    <n v="200"/>
    <s v="Medium HP"/>
    <s v="Passenger"/>
    <n v="22"/>
    <n v="84.565105020000004"/>
    <n v="108.7"/>
    <n v="76.099999999999994"/>
    <n v="192"/>
    <n v="3.5609999999999999"/>
    <n v="18.5"/>
    <d v="2011-08-09T00:00:00"/>
  </r>
  <r>
    <x v="1"/>
    <x v="5"/>
    <n v="1380"/>
    <n v="62000"/>
    <n v="39000"/>
    <n v="0.62903225806451613"/>
    <s v="POOR"/>
    <n v="4.2"/>
    <n v="310"/>
    <s v="High HP"/>
    <s v="Passenger"/>
    <n v="21"/>
    <n v="134.65685819999999"/>
    <n v="113"/>
    <n v="74"/>
    <n v="198.2"/>
    <n v="3.9020000000000001"/>
    <n v="23.7"/>
    <d v="2012-02-27T00:00:00"/>
  </r>
  <r>
    <x v="2"/>
    <x v="6"/>
    <n v="19747"/>
    <n v="26990"/>
    <n v="24500"/>
    <n v="0.9077436087439793"/>
    <s v="GOOD"/>
    <n v="2.5"/>
    <n v="170"/>
    <s v="Medium HP"/>
    <s v="Passenger"/>
    <n v="26"/>
    <n v="71.191206710000003"/>
    <n v="107.3"/>
    <n v="68.400000000000006"/>
    <n v="176"/>
    <n v="3.1789999999999998"/>
    <n v="16.600000000000001"/>
    <d v="2011-06-28T00:00:00"/>
  </r>
  <r>
    <x v="2"/>
    <x v="7"/>
    <n v="9231"/>
    <n v="33400"/>
    <n v="28675"/>
    <n v="0.85853293413173648"/>
    <s v="GOOD"/>
    <n v="2.8"/>
    <n v="193"/>
    <s v="Medium HP"/>
    <s v="Passenger"/>
    <n v="24"/>
    <n v="81.877068559999998"/>
    <n v="107.3"/>
    <n v="68.5"/>
    <n v="176"/>
    <n v="3.1970000000000001"/>
    <n v="16.600000000000001"/>
    <d v="2012-01-29T00:00:00"/>
  </r>
  <r>
    <x v="2"/>
    <x v="8"/>
    <n v="17527"/>
    <n v="38900"/>
    <n v="36125"/>
    <n v="0.92866323907455017"/>
    <s v="GOOD"/>
    <n v="2.8"/>
    <n v="193"/>
    <s v="Medium HP"/>
    <s v="Passenger"/>
    <n v="25"/>
    <n v="83.998723799999993"/>
    <n v="111.4"/>
    <n v="70.900000000000006"/>
    <n v="188"/>
    <n v="3.472"/>
    <n v="18.5"/>
    <d v="2011-04-04T00:00:00"/>
  </r>
  <r>
    <x v="3"/>
    <x v="9"/>
    <n v="91561"/>
    <n v="21975"/>
    <n v="12475"/>
    <n v="0.56769055745164965"/>
    <s v="POOR"/>
    <n v="3.1"/>
    <n v="175"/>
    <s v="Medium HP"/>
    <s v="Passenger"/>
    <n v="25"/>
    <n v="71.181451319999994"/>
    <n v="109"/>
    <n v="72.7"/>
    <n v="194.6"/>
    <n v="3.3679999999999999"/>
    <n v="17.5"/>
    <d v="2011-11-02T00:00:00"/>
  </r>
  <r>
    <x v="3"/>
    <x v="10"/>
    <n v="39350"/>
    <n v="25300"/>
    <n v="13740"/>
    <n v="0.54308300395256914"/>
    <s v="POOR"/>
    <n v="3.8"/>
    <n v="240"/>
    <s v="Medium HP"/>
    <s v="Passenger"/>
    <n v="23"/>
    <n v="95.636702529999994"/>
    <n v="109"/>
    <n v="72.7"/>
    <n v="196.2"/>
    <n v="3.5430000000000001"/>
    <n v="17.5"/>
    <d v="2011-09-03T00:00:00"/>
  </r>
  <r>
    <x v="3"/>
    <x v="11"/>
    <n v="27851"/>
    <n v="31965"/>
    <n v="20190"/>
    <n v="0.63162834350070385"/>
    <s v="POOR"/>
    <n v="3.8"/>
    <n v="205"/>
    <s v="Medium HP"/>
    <s v="Passenger"/>
    <n v="24"/>
    <n v="85.828408249999995"/>
    <n v="113.8"/>
    <n v="74.7"/>
    <n v="206.8"/>
    <n v="3.778"/>
    <n v="18.5"/>
    <d v="2012-03-23T00:00:00"/>
  </r>
  <r>
    <x v="3"/>
    <x v="12"/>
    <n v="83257"/>
    <n v="27885"/>
    <n v="13360"/>
    <n v="0.4791106329567868"/>
    <s v="POOR"/>
    <n v="3.8"/>
    <n v="205"/>
    <s v="Medium HP"/>
    <s v="Passenger"/>
    <n v="25"/>
    <n v="84.254525810000004"/>
    <n v="112.2"/>
    <n v="73.5"/>
    <n v="200"/>
    <n v="3.5910000000000002"/>
    <n v="17.5"/>
    <d v="2011-07-23T00:00:00"/>
  </r>
  <r>
    <x v="4"/>
    <x v="13"/>
    <n v="63729"/>
    <n v="39895"/>
    <n v="22525"/>
    <n v="0.56460709362075445"/>
    <s v="POOR"/>
    <n v="4.5999999999999996"/>
    <n v="275"/>
    <s v="Medium HP"/>
    <s v="Passenger"/>
    <n v="22"/>
    <n v="113.85459760000001"/>
    <n v="115.3"/>
    <n v="74.5"/>
    <n v="207.2"/>
    <n v="3.9780000000000002"/>
    <n v="18.5"/>
    <d v="2012-02-23T00:00:00"/>
  </r>
  <r>
    <x v="4"/>
    <x v="14"/>
    <n v="15943"/>
    <n v="44475"/>
    <n v="27100"/>
    <n v="0.60933108487914556"/>
    <s v="POOR"/>
    <n v="4.5999999999999996"/>
    <n v="275"/>
    <s v="Medium HP"/>
    <s v="Passenger"/>
    <n v="22"/>
    <n v="115.6213578"/>
    <n v="112.2"/>
    <n v="75"/>
    <n v="201"/>
    <n v="3.875"/>
    <n v="18.5"/>
    <d v="2011-04-29T00:00:00"/>
  </r>
  <r>
    <x v="4"/>
    <x v="15"/>
    <n v="6536"/>
    <n v="39665"/>
    <n v="25725"/>
    <n v="0.6485566620446237"/>
    <s v="POOR"/>
    <n v="4.5999999999999996"/>
    <n v="275"/>
    <s v="Medium HP"/>
    <s v="Passenger"/>
    <n v="22"/>
    <n v="113.7658739"/>
    <n v="108"/>
    <n v="75.5"/>
    <n v="200.6"/>
    <n v="3.843"/>
    <n v="19"/>
    <d v="2011-11-27T00:00:00"/>
  </r>
  <r>
    <x v="4"/>
    <x v="16"/>
    <n v="11185"/>
    <n v="31010"/>
    <n v="18225"/>
    <n v="0.58771364076104482"/>
    <s v="POOR"/>
    <n v="3"/>
    <n v="200"/>
    <s v="Medium HP"/>
    <s v="Passenger"/>
    <n v="22"/>
    <n v="83.483093580000002"/>
    <n v="107.4"/>
    <n v="70.3"/>
    <n v="194.8"/>
    <n v="3.77"/>
    <n v="18"/>
    <d v="2011-09-28T00:00:00"/>
  </r>
  <r>
    <x v="4"/>
    <x v="17"/>
    <n v="14785"/>
    <n v="46225"/>
    <n v="31245"/>
    <n v="0.67593293672255272"/>
    <s v="POOR"/>
    <n v="5.7"/>
    <n v="255"/>
    <s v="Medium HP"/>
    <s v="Car"/>
    <n v="15"/>
    <n v="109.5091165"/>
    <n v="117.5"/>
    <n v="77"/>
    <n v="201.2"/>
    <n v="5.5720000000000001"/>
    <n v="30"/>
    <d v="2012-04-17T00:00:00"/>
  </r>
  <r>
    <x v="5"/>
    <x v="18"/>
    <n v="145519"/>
    <n v="13260"/>
    <n v="9250"/>
    <n v="0.69758672699849167"/>
    <s v="GOOD"/>
    <n v="2.2000000000000002"/>
    <n v="115"/>
    <s v="Medium HP"/>
    <s v="Passenger"/>
    <n v="27"/>
    <n v="46.363347470000001"/>
    <n v="104.1"/>
    <n v="67.900000000000006"/>
    <n v="180.9"/>
    <n v="2.6760000000000002"/>
    <n v="14.3"/>
    <d v="2011-08-17T00:00:00"/>
  </r>
  <r>
    <x v="5"/>
    <x v="19"/>
    <n v="135126"/>
    <n v="16535"/>
    <n v="11225"/>
    <n v="0.67886301784094349"/>
    <s v="POOR"/>
    <n v="3.1"/>
    <n v="170"/>
    <s v="Medium HP"/>
    <s v="Passenger"/>
    <n v="25"/>
    <n v="67.314462160000005"/>
    <n v="107"/>
    <n v="69.400000000000006"/>
    <n v="190.4"/>
    <n v="3.0510000000000002"/>
    <n v="15"/>
    <d v="2012-03-19T00:00:00"/>
  </r>
  <r>
    <x v="5"/>
    <x v="20"/>
    <n v="24629"/>
    <n v="18890"/>
    <n v="10310"/>
    <n v="0.54579142403388037"/>
    <s v="POOR"/>
    <n v="3.1"/>
    <n v="175"/>
    <s v="Medium HP"/>
    <s v="Passenger"/>
    <n v="25"/>
    <n v="69.991395600000004"/>
    <n v="107.5"/>
    <n v="72.5"/>
    <n v="200.9"/>
    <n v="3.33"/>
    <n v="16.600000000000001"/>
    <d v="2011-05-24T00:00:00"/>
  </r>
  <r>
    <x v="5"/>
    <x v="21"/>
    <n v="42593"/>
    <n v="19390"/>
    <n v="11525"/>
    <n v="0.59437854564208359"/>
    <s v="POOR"/>
    <n v="3.4"/>
    <n v="180"/>
    <s v="Medium HP"/>
    <s v="Passenger"/>
    <n v="27"/>
    <n v="72.030917189999997"/>
    <n v="110.5"/>
    <n v="72.7"/>
    <n v="197.9"/>
    <n v="3.34"/>
    <n v="17"/>
    <d v="2011-12-22T00:00:00"/>
  </r>
  <r>
    <x v="5"/>
    <x v="22"/>
    <n v="26402"/>
    <n v="24340"/>
    <n v="13025"/>
    <n v="0.53512736236647496"/>
    <s v="POOR"/>
    <n v="3.8"/>
    <n v="200"/>
    <s v="Medium HP"/>
    <s v="Passenger"/>
    <n v="25"/>
    <n v="81.118543329999994"/>
    <n v="101.1"/>
    <n v="74.099999999999994"/>
    <n v="193.2"/>
    <n v="3.5"/>
    <n v="16.8"/>
    <d v="2011-10-23T00:00:00"/>
  </r>
  <r>
    <x v="5"/>
    <x v="23"/>
    <n v="17947"/>
    <n v="55705"/>
    <n v="36225"/>
    <n v="0.65030069114083111"/>
    <s v="POOR"/>
    <n v="5.7"/>
    <n v="345"/>
    <s v="High HP"/>
    <s v="Passenger"/>
    <n v="22"/>
    <n v="141.14115000000001"/>
    <n v="104.5"/>
    <n v="73.599999999999994"/>
    <n v="179.7"/>
    <n v="3.21"/>
    <n v="19.100000000000001"/>
    <d v="2012-05-12T00:00:00"/>
  </r>
  <r>
    <x v="5"/>
    <x v="24"/>
    <n v="32299"/>
    <n v="13960"/>
    <n v="9125"/>
    <n v="0.65365329512893988"/>
    <s v="POOR"/>
    <n v="1.8"/>
    <n v="120"/>
    <s v="Medium HP"/>
    <s v="Passenger"/>
    <n v="33"/>
    <n v="48.297636099999998"/>
    <n v="97.1"/>
    <n v="66.7"/>
    <n v="174.3"/>
    <n v="2.3980000000000001"/>
    <n v="13.2"/>
    <d v="2011-09-11T00:00:00"/>
  </r>
  <r>
    <x v="5"/>
    <x v="25"/>
    <n v="21855"/>
    <n v="9235"/>
    <n v="5160"/>
    <n v="0.55874390904168925"/>
    <s v="POOR"/>
    <n v="1"/>
    <n v="55"/>
    <s v="Low HP"/>
    <s v="Passenger"/>
    <n v="45"/>
    <n v="23.276272330000001"/>
    <n v="93.1"/>
    <n v="62.6"/>
    <n v="149.4"/>
    <n v="1.895"/>
    <n v="10.3"/>
    <d v="2012-04-13T00:00:00"/>
  </r>
  <r>
    <x v="5"/>
    <x v="26"/>
    <n v="107995"/>
    <n v="18890"/>
    <n v="11550"/>
    <n v="0.61143462149285333"/>
    <s v="POOR"/>
    <n v="3.4"/>
    <n v="180"/>
    <s v="Medium HP"/>
    <s v="Passenger"/>
    <n v="27"/>
    <n v="71.838039440000003"/>
    <n v="110.5"/>
    <n v="73"/>
    <n v="200"/>
    <n v="3.3889999999999998"/>
    <n v="17"/>
    <d v="2011-06-18T00:00:00"/>
  </r>
  <r>
    <x v="6"/>
    <x v="27"/>
    <n v="7854"/>
    <n v="19840"/>
    <n v="12360"/>
    <n v="0.62298387096774188"/>
    <s v="POOR"/>
    <n v="2.5"/>
    <n v="163"/>
    <s v="Medium HP"/>
    <s v="Passenger"/>
    <n v="24"/>
    <n v="65.957183959999995"/>
    <n v="103.7"/>
    <n v="69.7"/>
    <n v="190.9"/>
    <n v="2.9670000000000001"/>
    <n v="15.9"/>
    <d v="2012-01-16T00:00:00"/>
  </r>
  <r>
    <x v="6"/>
    <x v="28"/>
    <n v="32775"/>
    <n v="24495"/>
    <n v="14180"/>
    <n v="0.57889365176566643"/>
    <s v="POOR"/>
    <n v="2.5"/>
    <n v="168"/>
    <s v="Medium HP"/>
    <s v="Passenger"/>
    <n v="24"/>
    <n v="69.521355049999997"/>
    <n v="106"/>
    <n v="69.2"/>
    <n v="193"/>
    <n v="3.3319999999999999"/>
    <n v="16"/>
    <d v="2011-11-17T00:00:00"/>
  </r>
  <r>
    <x v="6"/>
    <x v="29"/>
    <n v="31148"/>
    <n v="22245"/>
    <n v="13725"/>
    <n v="0.61699258260283207"/>
    <s v="POOR"/>
    <n v="2.7"/>
    <n v="200"/>
    <s v="Medium HP"/>
    <s v="Passenger"/>
    <n v="26"/>
    <n v="80.02378204"/>
    <n v="113"/>
    <n v="74.400000000000006"/>
    <n v="209.1"/>
    <n v="3.452"/>
    <n v="17"/>
    <d v="2012-06-06T00:00:00"/>
  </r>
  <r>
    <x v="6"/>
    <x v="30"/>
    <n v="32305.999999999996"/>
    <n v="16480"/>
    <n v="12640"/>
    <n v="0.76699029126213591"/>
    <s v="GOOD"/>
    <n v="2"/>
    <n v="132"/>
    <s v="Medium HP"/>
    <s v="Passenger"/>
    <n v="27"/>
    <n v="53.566199869999998"/>
    <n v="108"/>
    <n v="71"/>
    <n v="186"/>
    <n v="2.911"/>
    <n v="16"/>
    <d v="2011-10-06T00:00:00"/>
  </r>
  <r>
    <x v="6"/>
    <x v="31"/>
    <n v="13462"/>
    <n v="28340"/>
    <n v="17325"/>
    <n v="0.61132674664784759"/>
    <s v="POOR"/>
    <n v="3.5"/>
    <n v="253"/>
    <s v="Medium HP"/>
    <s v="Passenger"/>
    <n v="23"/>
    <n v="101.3292807"/>
    <n v="113"/>
    <n v="74.400000000000006"/>
    <n v="207.7"/>
    <n v="3.5640000000000001"/>
    <n v="17"/>
    <d v="2012-05-08T00:00:00"/>
  </r>
  <r>
    <x v="6"/>
    <x v="32"/>
    <n v="30696"/>
    <n v="29185"/>
    <n v="18425"/>
    <n v="0.63131745759808122"/>
    <s v="POOR"/>
    <n v="3.5"/>
    <n v="253"/>
    <s v="Medium HP"/>
    <s v="Passenger"/>
    <n v="23"/>
    <n v="101.6552441"/>
    <n v="113"/>
    <n v="74.400000000000006"/>
    <n v="197.8"/>
    <n v="3.5670000000000002"/>
    <n v="17"/>
    <d v="2012-02-10T00:00:00"/>
  </r>
  <r>
    <x v="7"/>
    <x v="33"/>
    <n v="76034"/>
    <n v="12640"/>
    <n v="7750"/>
    <n v="0.61313291139240511"/>
    <s v="POOR"/>
    <n v="2"/>
    <n v="132"/>
    <s v="Medium HP"/>
    <s v="Passenger"/>
    <n v="29"/>
    <n v="52.084898750000001"/>
    <n v="105"/>
    <n v="74.400000000000006"/>
    <n v="174.4"/>
    <n v="2.5670000000000002"/>
    <n v="12.5"/>
    <d v="2011-12-12T00:00:00"/>
  </r>
  <r>
    <x v="7"/>
    <x v="34"/>
    <n v="4734"/>
    <n v="19045"/>
    <n v="12545"/>
    <n v="0.65870307167235498"/>
    <s v="POOR"/>
    <n v="2.5"/>
    <n v="163"/>
    <s v="Medium HP"/>
    <s v="Passenger"/>
    <n v="24"/>
    <n v="65.650508340000002"/>
    <n v="103.7"/>
    <n v="69.099999999999994"/>
    <n v="190.2"/>
    <n v="2.879"/>
    <n v="15.9"/>
    <d v="2012-07-01T00:00:00"/>
  </r>
  <r>
    <x v="7"/>
    <x v="35"/>
    <n v="71186"/>
    <n v="20230"/>
    <n v="10185"/>
    <n v="0.5034602076124568"/>
    <s v="POOR"/>
    <n v="2.5"/>
    <n v="168"/>
    <s v="Medium HP"/>
    <s v="Passenger"/>
    <n v="24"/>
    <n v="67.876107840000003"/>
    <n v="108"/>
    <n v="71"/>
    <n v="186"/>
    <n v="3.0579999999999998"/>
    <n v="16"/>
    <d v="2011-10-31T00:00:00"/>
  </r>
  <r>
    <x v="7"/>
    <x v="36"/>
    <n v="88028"/>
    <n v="22505"/>
    <n v="12275"/>
    <n v="0.54543434792268386"/>
    <s v="POOR"/>
    <n v="2.7"/>
    <n v="202"/>
    <s v="Medium HP"/>
    <s v="Passenger"/>
    <n v="22"/>
    <n v="80.831470170000003"/>
    <n v="113"/>
    <n v="74.7"/>
    <n v="203.7"/>
    <n v="3.4889999999999999"/>
    <n v="17"/>
    <d v="2012-06-02T00:00:00"/>
  </r>
  <r>
    <x v="7"/>
    <x v="37"/>
    <n v="916"/>
    <n v="69725"/>
    <n v="58470"/>
    <n v="0.83858013624955186"/>
    <s v="GOOD"/>
    <n v="8"/>
    <n v="450"/>
    <s v="High HP"/>
    <s v="Passenger"/>
    <n v="16"/>
    <n v="188.14432300000001"/>
    <n v="96.2"/>
    <n v="75.7"/>
    <n v="176.7"/>
    <n v="3.375"/>
    <n v="19"/>
    <d v="2011-08-07T00:00:00"/>
  </r>
  <r>
    <x v="7"/>
    <x v="38"/>
    <n v="227061"/>
    <n v="19460"/>
    <n v="15060"/>
    <n v="0.77389516957862281"/>
    <s v="GOOD"/>
    <n v="5.2"/>
    <n v="230"/>
    <s v="Medium HP"/>
    <s v="Car"/>
    <n v="17"/>
    <n v="90.211700050000005"/>
    <n v="138.69999999999999"/>
    <n v="79.3"/>
    <n v="224.2"/>
    <n v="4.47"/>
    <n v="26"/>
    <d v="2012-03-06T00:00:00"/>
  </r>
  <r>
    <x v="7"/>
    <x v="39"/>
    <n v="16767"/>
    <n v="21315"/>
    <n v="15510"/>
    <n v="0.72765657987332866"/>
    <s v="GOOD"/>
    <n v="3.9"/>
    <n v="175"/>
    <s v="Medium HP"/>
    <s v="Car"/>
    <n v="15"/>
    <n v="71.135291609999996"/>
    <n v="109.6"/>
    <n v="78.8"/>
    <n v="192.6"/>
    <n v="4.2450000000000001"/>
    <n v="32"/>
    <d v="2012-01-06T00:00:00"/>
  </r>
  <r>
    <x v="7"/>
    <x v="40"/>
    <n v="31038"/>
    <n v="18575"/>
    <n v="13425"/>
    <n v="0.7227456258411844"/>
    <s v="GOOD"/>
    <n v="3.9"/>
    <n v="175"/>
    <s v="Medium HP"/>
    <s v="Car"/>
    <n v="16"/>
    <n v="70.078321540000005"/>
    <n v="127.2"/>
    <n v="78.8"/>
    <n v="208.5"/>
    <n v="4.298"/>
    <n v="32"/>
    <d v="2012-07-26T00:00:00"/>
  </r>
  <r>
    <x v="7"/>
    <x v="41"/>
    <n v="111313"/>
    <n v="16980"/>
    <n v="11260"/>
    <n v="0.66313309776207308"/>
    <s v="POOR"/>
    <n v="2.5"/>
    <n v="120"/>
    <s v="Medium HP"/>
    <s v="Car"/>
    <n v="19"/>
    <n v="49.64500177"/>
    <n v="131"/>
    <n v="71.5"/>
    <n v="215"/>
    <n v="3.5569999999999999"/>
    <n v="22"/>
    <d v="2011-11-25T00:00:00"/>
  </r>
  <r>
    <x v="7"/>
    <x v="42"/>
    <n v="101323"/>
    <n v="26310"/>
    <n v="21436"/>
    <n v="0.81474724439376667"/>
    <s v="GOOD"/>
    <n v="5.2"/>
    <n v="230"/>
    <s v="Medium HP"/>
    <s v="Car"/>
    <n v="17"/>
    <n v="92.85412522"/>
    <n v="115.7"/>
    <n v="71.7"/>
    <n v="193.5"/>
    <n v="4.3940000000000001"/>
    <n v="25"/>
    <d v="2012-06-27T00:00:00"/>
  </r>
  <r>
    <x v="7"/>
    <x v="43"/>
    <n v="181749"/>
    <n v="19565"/>
    <n v="12025"/>
    <n v="0.61461794019933558"/>
    <s v="POOR"/>
    <n v="2.4"/>
    <n v="150"/>
    <s v="Medium HP"/>
    <s v="Car"/>
    <n v="24"/>
    <n v="61.227000310000001"/>
    <n v="113.3"/>
    <n v="76.8"/>
    <n v="186.3"/>
    <n v="3.5329999999999999"/>
    <n v="20"/>
    <d v="2011-09-01T00:00:00"/>
  </r>
  <r>
    <x v="8"/>
    <x v="44"/>
    <n v="70227"/>
    <n v="12070"/>
    <n v="7425"/>
    <n v="0.61516155758077884"/>
    <s v="POOR"/>
    <n v="2"/>
    <n v="110"/>
    <s v="Medium HP"/>
    <s v="Passenger"/>
    <n v="30"/>
    <n v="44.083709460000001"/>
    <n v="98.4"/>
    <n v="67"/>
    <n v="174.7"/>
    <n v="2.468"/>
    <n v="12.7"/>
    <d v="2012-03-31T00:00:00"/>
  </r>
  <r>
    <x v="8"/>
    <x v="45"/>
    <n v="113369"/>
    <n v="21560"/>
    <n v="12760"/>
    <n v="0.59183673469387754"/>
    <s v="POOR"/>
    <n v="3.8"/>
    <n v="190"/>
    <s v="Medium HP"/>
    <s v="Passenger"/>
    <n v="24"/>
    <n v="76.509184559999994"/>
    <n v="101.3"/>
    <n v="73.099999999999994"/>
    <n v="183.2"/>
    <n v="3.2029999999999998"/>
    <n v="15.7"/>
    <d v="2012-01-31T00:00:00"/>
  </r>
  <r>
    <x v="8"/>
    <x v="46"/>
    <n v="35068"/>
    <n v="17035"/>
    <n v="8835"/>
    <n v="0.5186380980334605"/>
    <s v="POOR"/>
    <n v="2.5"/>
    <n v="170"/>
    <s v="Medium HP"/>
    <s v="Passenger"/>
    <n v="25"/>
    <n v="67.351010720000005"/>
    <n v="106.5"/>
    <n v="69.099999999999994"/>
    <n v="184.6"/>
    <n v="2.7690000000000001"/>
    <n v="15"/>
    <d v="2012-08-20T00:00:00"/>
  </r>
  <r>
    <x v="8"/>
    <x v="47"/>
    <n v="245815"/>
    <n v="17885"/>
    <n v="10055"/>
    <n v="0.56220296337713171"/>
    <s v="POOR"/>
    <n v="3"/>
    <n v="155"/>
    <s v="Medium HP"/>
    <s v="Passenger"/>
    <n v="24"/>
    <n v="62.503739500000002"/>
    <n v="108.5"/>
    <n v="73"/>
    <n v="197.6"/>
    <n v="3.3679999999999999"/>
    <n v="16"/>
    <d v="2011-12-20T00:00:00"/>
  </r>
  <r>
    <x v="8"/>
    <x v="48"/>
    <n v="175670"/>
    <n v="12315"/>
    <n v="8670"/>
    <n v="0.7040194884287454"/>
    <s v="GOOD"/>
    <n v="2"/>
    <n v="107"/>
    <s v="Medium HP"/>
    <s v="Passenger"/>
    <n v="30"/>
    <n v="43.117132009999999"/>
    <n v="103"/>
    <n v="66.900000000000006"/>
    <n v="174.8"/>
    <n v="2.5640000000000001"/>
    <n v="13.2"/>
    <d v="2012-07-22T00:00:00"/>
  </r>
  <r>
    <x v="8"/>
    <x v="49"/>
    <n v="63403"/>
    <n v="22195"/>
    <n v="14210"/>
    <n v="0.64023428700157692"/>
    <s v="POOR"/>
    <n v="4.5999999999999996"/>
    <n v="200"/>
    <s v="Medium HP"/>
    <s v="Passenger"/>
    <n v="21"/>
    <n v="80.499536710000001"/>
    <n v="114.7"/>
    <n v="78.2"/>
    <n v="212"/>
    <n v="3.9079999999999999"/>
    <n v="19"/>
    <d v="2011-09-26T00:00:00"/>
  </r>
  <r>
    <x v="8"/>
    <x v="50"/>
    <n v="276747"/>
    <n v="31930"/>
    <n v="16640"/>
    <n v="0.52113999373629816"/>
    <s v="POOR"/>
    <n v="4"/>
    <n v="210"/>
    <s v="Medium HP"/>
    <s v="Car"/>
    <n v="19"/>
    <n v="87.635495779999999"/>
    <n v="111.6"/>
    <n v="70.2"/>
    <n v="190.7"/>
    <n v="3.8759999999999999"/>
    <n v="21"/>
    <d v="2012-04-25T00:00:00"/>
  </r>
  <r>
    <x v="8"/>
    <x v="51"/>
    <n v="155787"/>
    <n v="21410"/>
    <n v="13175"/>
    <n v="0.6153666510976179"/>
    <s v="POOR"/>
    <n v="3"/>
    <n v="150"/>
    <s v="Medium HP"/>
    <s v="Car"/>
    <n v="21"/>
    <n v="62.095048390000002"/>
    <n v="120.7"/>
    <n v="76.599999999999994"/>
    <n v="200.9"/>
    <n v="3.7610000000000001"/>
    <n v="26"/>
    <d v="2012-02-25T00:00:00"/>
  </r>
  <r>
    <x v="8"/>
    <x v="52"/>
    <n v="125338"/>
    <n v="36135"/>
    <n v="23575"/>
    <n v="0.65241455652414559"/>
    <s v="POOR"/>
    <n v="4.5999999999999996"/>
    <n v="240"/>
    <s v="Medium HP"/>
    <s v="Car"/>
    <n v="16"/>
    <n v="100.0248023"/>
    <n v="119"/>
    <n v="78.7"/>
    <n v="204.6"/>
    <n v="4.8079999999999998"/>
    <n v="26"/>
    <d v="2012-09-14T00:00:00"/>
  </r>
  <r>
    <x v="8"/>
    <x v="53"/>
    <n v="220650"/>
    <n v="12050"/>
    <n v="7850"/>
    <n v="0.65145228215767637"/>
    <s v="POOR"/>
    <n v="2.5"/>
    <n v="119"/>
    <s v="Medium HP"/>
    <s v="Car"/>
    <n v="23"/>
    <n v="47.389531310000002"/>
    <n v="117.5"/>
    <n v="69.400000000000006"/>
    <n v="200.7"/>
    <n v="3.0859999999999999"/>
    <n v="20"/>
    <d v="2012-01-14T00:00:00"/>
  </r>
  <r>
    <x v="8"/>
    <x v="54"/>
    <n v="540561"/>
    <n v="26935"/>
    <n v="15075"/>
    <n v="0.55968071282717657"/>
    <s v="POOR"/>
    <n v="4.5999999999999996"/>
    <n v="220"/>
    <s v="Medium HP"/>
    <s v="Car"/>
    <n v="18"/>
    <n v="89.401934729999994"/>
    <n v="138.5"/>
    <n v="79.099999999999994"/>
    <n v="224.5"/>
    <n v="4.2409999999999997"/>
    <n v="25.1"/>
    <d v="2012-08-16T00:00:00"/>
  </r>
  <r>
    <x v="9"/>
    <x v="55"/>
    <n v="199685"/>
    <n v="12885"/>
    <n v="9850"/>
    <n v="0.76445479239425684"/>
    <s v="GOOD"/>
    <n v="1.6"/>
    <n v="106"/>
    <s v="Medium HP"/>
    <s v="Passenger"/>
    <n v="32"/>
    <n v="42.879097340000001"/>
    <n v="103.2"/>
    <n v="67.099999999999994"/>
    <n v="175.1"/>
    <n v="2.339"/>
    <n v="11.9"/>
    <d v="2011-10-21T00:00:00"/>
  </r>
  <r>
    <x v="9"/>
    <x v="56"/>
    <n v="230902"/>
    <n v="15350"/>
    <n v="13210"/>
    <n v="0.86058631921824102"/>
    <s v="GOOD"/>
    <n v="2.2999999999999998"/>
    <n v="135"/>
    <s v="Medium HP"/>
    <s v="Passenger"/>
    <n v="27"/>
    <n v="54.269548290000003"/>
    <n v="106.9"/>
    <n v="70.3"/>
    <n v="188.8"/>
    <n v="2.9319999999999999"/>
    <n v="17.100000000000001"/>
    <d v="2012-05-20T00:00:00"/>
  </r>
  <r>
    <x v="9"/>
    <x v="57"/>
    <n v="73203"/>
    <n v="20550"/>
    <n v="17710"/>
    <n v="0.8618004866180049"/>
    <s v="GOOD"/>
    <n v="2"/>
    <n v="146"/>
    <s v="Medium HP"/>
    <s v="Car"/>
    <n v="24"/>
    <n v="60.087966620000003"/>
    <n v="103.2"/>
    <n v="68.900000000000006"/>
    <n v="177.6"/>
    <n v="3.2189999999999999"/>
    <n v="15.3"/>
    <d v="2012-03-21T00:00:00"/>
  </r>
  <r>
    <x v="9"/>
    <x v="58"/>
    <n v="12855"/>
    <n v="26600"/>
    <n v="17525"/>
    <n v="0.65883458646616544"/>
    <s v="POOR"/>
    <n v="3.2"/>
    <n v="205"/>
    <s v="Medium HP"/>
    <s v="Car"/>
    <n v="19"/>
    <n v="83.602500800000001"/>
    <n v="106.4"/>
    <n v="70.400000000000006"/>
    <n v="178.2"/>
    <n v="3.8570000000000002"/>
    <n v="21.1"/>
    <d v="2012-10-09T00:00:00"/>
  </r>
  <r>
    <x v="9"/>
    <x v="59"/>
    <n v="76029"/>
    <n v="26000"/>
    <n v="19490"/>
    <n v="0.74961538461538457"/>
    <s v="GOOD"/>
    <n v="3.5"/>
    <n v="210"/>
    <s v="Medium HP"/>
    <s v="Car"/>
    <n v="23"/>
    <n v="85.217691340000002"/>
    <n v="118.1"/>
    <n v="75.599999999999994"/>
    <n v="201.2"/>
    <n v="4.2880000000000003"/>
    <n v="20"/>
    <d v="2012-02-08T00:00:00"/>
  </r>
  <r>
    <x v="10"/>
    <x v="60"/>
    <n v="41184"/>
    <n v="9699"/>
    <n v="5860"/>
    <n v="0.6041859985565522"/>
    <s v="POOR"/>
    <n v="1.5"/>
    <n v="92"/>
    <s v="Low HP"/>
    <s v="Passenger"/>
    <n v="31"/>
    <n v="36.672283579999998"/>
    <n v="96.1"/>
    <n v="65.7"/>
    <n v="166.7"/>
    <n v="2.2400000000000002"/>
    <n v="11.9"/>
    <d v="2012-09-10T00:00:00"/>
  </r>
  <r>
    <x v="10"/>
    <x v="61"/>
    <n v="66692"/>
    <n v="11799"/>
    <n v="7825"/>
    <n v="0.66319179591490807"/>
    <s v="POOR"/>
    <n v="2"/>
    <n v="140"/>
    <s v="Medium HP"/>
    <s v="Passenger"/>
    <n v="27"/>
    <n v="54.590045160000003"/>
    <n v="100.4"/>
    <n v="66.900000000000006"/>
    <n v="174"/>
    <n v="2.6259999999999999"/>
    <n v="14.5"/>
    <d v="2011-11-15T00:00:00"/>
  </r>
  <r>
    <x v="10"/>
    <x v="62"/>
    <n v="29450"/>
    <n v="14999"/>
    <n v="8910"/>
    <n v="0.59403960264017597"/>
    <s v="POOR"/>
    <n v="2.4"/>
    <n v="148"/>
    <s v="Medium HP"/>
    <s v="Passenger"/>
    <n v="25"/>
    <n v="58.758248999999999"/>
    <n v="106.3"/>
    <n v="71.599999999999994"/>
    <n v="185.4"/>
    <n v="3.0720000000000001"/>
    <n v="17.2"/>
    <d v="2012-06-14T00:00:00"/>
  </r>
  <r>
    <x v="11"/>
    <x v="63"/>
    <n v="23713"/>
    <n v="29465"/>
    <n v="19690"/>
    <n v="0.66825046665535381"/>
    <s v="POOR"/>
    <n v="3"/>
    <n v="227"/>
    <s v="Medium HP"/>
    <s v="Passenger"/>
    <n v="25"/>
    <n v="92.436889230000006"/>
    <n v="108.3"/>
    <n v="70.2"/>
    <n v="193.7"/>
    <n v="3.3420000000000001"/>
    <n v="18.5"/>
    <d v="2012-04-15T00:00:00"/>
  </r>
  <r>
    <x v="12"/>
    <x v="64"/>
    <n v="15467"/>
    <n v="42800"/>
    <n v="33219"/>
    <n v="0.77614485981308412"/>
    <s v="GOOD"/>
    <n v="3"/>
    <n v="240"/>
    <s v="Medium HP"/>
    <s v="Passenger"/>
    <n v="21"/>
    <n v="102.17898479999999"/>
    <n v="114.5"/>
    <n v="71.599999999999994"/>
    <n v="191.3"/>
    <n v="3.65"/>
    <n v="18.399999999999999"/>
    <d v="2012-11-03T00:00:00"/>
  </r>
  <r>
    <x v="13"/>
    <x v="65"/>
    <n v="55557"/>
    <n v="14460"/>
    <n v="13475"/>
    <n v="0.931881051175657"/>
    <s v="GOOD"/>
    <n v="2.5"/>
    <n v="120"/>
    <s v="Medium HP"/>
    <s v="Car"/>
    <n v="17"/>
    <n v="48.672897910000003"/>
    <n v="93.4"/>
    <n v="66.7"/>
    <n v="152"/>
    <n v="3.0449999999999999"/>
    <n v="19"/>
    <d v="2012-03-04T00:00:00"/>
  </r>
  <r>
    <x v="13"/>
    <x v="66"/>
    <n v="80556"/>
    <n v="21620"/>
    <n v="13775"/>
    <n v="0.63714153561517117"/>
    <s v="POOR"/>
    <n v="4"/>
    <n v="190"/>
    <s v="Medium HP"/>
    <s v="Car"/>
    <n v="20"/>
    <n v="76.584439619999998"/>
    <n v="101.4"/>
    <n v="69.400000000000006"/>
    <n v="167.5"/>
    <n v="3.194"/>
    <n v="20"/>
    <d v="2012-10-05T00:00:00"/>
  </r>
  <r>
    <x v="13"/>
    <x v="67"/>
    <n v="157040"/>
    <n v="26895"/>
    <n v="18810"/>
    <n v="0.69938650306748462"/>
    <s v="GOOD"/>
    <n v="4"/>
    <n v="195"/>
    <s v="Medium HP"/>
    <s v="Car"/>
    <n v="19"/>
    <n v="80.387779120000005"/>
    <n v="105.9"/>
    <n v="72.3"/>
    <n v="181.5"/>
    <n v="3.88"/>
    <n v="20.5"/>
    <d v="2011-12-10T00:00:00"/>
  </r>
  <r>
    <x v="14"/>
    <x v="68"/>
    <n v="24072"/>
    <n v="31505"/>
    <n v="26975"/>
    <n v="0.85621329947627356"/>
    <s v="GOOD"/>
    <n v="3"/>
    <n v="210"/>
    <s v="Medium HP"/>
    <s v="Passenger"/>
    <n v="23"/>
    <n v="87.211001039999999"/>
    <n v="105.1"/>
    <n v="70.5"/>
    <n v="190.2"/>
    <n v="3.3730000000000002"/>
    <n v="18.5"/>
    <d v="2012-07-09T00:00:00"/>
  </r>
  <r>
    <x v="14"/>
    <x v="69"/>
    <n v="12698"/>
    <n v="37805"/>
    <n v="32075.000000000004"/>
    <n v="0.8484327469911388"/>
    <s v="GOOD"/>
    <n v="3"/>
    <n v="225"/>
    <s v="Medium HP"/>
    <s v="Passenger"/>
    <n v="23"/>
    <n v="94.946698400000002"/>
    <n v="110.2"/>
    <n v="70.900000000000006"/>
    <n v="189.2"/>
    <n v="3.6379999999999999"/>
    <n v="19.8"/>
    <d v="2012-05-10T00:00:00"/>
  </r>
  <r>
    <x v="14"/>
    <x v="70"/>
    <n v="3334"/>
    <n v="46305"/>
    <n v="38955"/>
    <n v="0.84126984126984128"/>
    <s v="GOOD"/>
    <n v="4"/>
    <n v="300"/>
    <s v="High HP"/>
    <s v="Passenger"/>
    <n v="21"/>
    <n v="125.0133574"/>
    <n v="110.2"/>
    <n v="70.900000000000006"/>
    <n v="189.2"/>
    <n v="3.6930000000000001"/>
    <n v="19.8"/>
    <d v="2012-11-28T00:00:00"/>
  </r>
  <r>
    <x v="14"/>
    <x v="71"/>
    <n v="6375"/>
    <n v="54005"/>
    <n v="40375"/>
    <n v="0.74761596148504772"/>
    <s v="GOOD"/>
    <n v="4"/>
    <n v="290"/>
    <s v="Medium HP"/>
    <s v="Passenger"/>
    <n v="22"/>
    <n v="124.44671630000001"/>
    <n v="112.2"/>
    <n v="72"/>
    <n v="196.7"/>
    <n v="3.89"/>
    <n v="22.5"/>
    <d v="2012-03-29T00:00:00"/>
  </r>
  <r>
    <x v="14"/>
    <x v="72"/>
    <n v="9126"/>
    <n v="60105"/>
    <n v="43870"/>
    <n v="0.72988936028616591"/>
    <s v="GOOD"/>
    <n v="4.7"/>
    <n v="230"/>
    <s v="Medium HP"/>
    <s v="Car"/>
    <n v="15"/>
    <n v="105.760458"/>
    <n v="112.2"/>
    <n v="76.400000000000006"/>
    <n v="192.5"/>
    <n v="5.4009999999999998"/>
    <n v="25.4"/>
    <d v="2012-10-30T00:00:00"/>
  </r>
  <r>
    <x v="14"/>
    <x v="73"/>
    <n v="51238"/>
    <n v="34605"/>
    <n v="29140"/>
    <n v="0.84207484467562488"/>
    <s v="GOOD"/>
    <n v="3"/>
    <n v="220"/>
    <s v="Medium HP"/>
    <s v="Car"/>
    <n v="21"/>
    <n v="91.943801559999997"/>
    <n v="103"/>
    <n v="71.5"/>
    <n v="180.1"/>
    <n v="3.9"/>
    <n v="17.2"/>
    <d v="2012-01-04T00:00:00"/>
  </r>
  <r>
    <x v="15"/>
    <x v="74"/>
    <n v="13798"/>
    <n v="39080"/>
    <n v="20525"/>
    <n v="0.52520470829068577"/>
    <s v="POOR"/>
    <n v="4.5999999999999996"/>
    <n v="275"/>
    <s v="Medium HP"/>
    <s v="Passenger"/>
    <n v="22"/>
    <n v="113.5402069"/>
    <n v="109"/>
    <n v="73.599999999999994"/>
    <n v="208.5"/>
    <n v="3.8679999999999999"/>
    <n v="20"/>
    <d v="2012-08-03T00:00:00"/>
  </r>
  <r>
    <x v="15"/>
    <x v="75"/>
    <n v="48911"/>
    <n v="43330"/>
    <n v="21725"/>
    <n v="0.5013847219016847"/>
    <s v="POOR"/>
    <n v="4.5999999999999996"/>
    <n v="215"/>
    <s v="Medium HP"/>
    <s v="Passenger"/>
    <n v="21"/>
    <n v="93.957916900000001"/>
    <n v="117.7"/>
    <n v="78.2"/>
    <n v="215.3"/>
    <n v="4.1210000000000004"/>
    <n v="19"/>
    <d v="2012-06-04T00:00:00"/>
  </r>
  <r>
    <x v="15"/>
    <x v="76"/>
    <n v="22925"/>
    <n v="42660"/>
    <n v="20765"/>
    <n v="0.48675574308485703"/>
    <s v="POOR"/>
    <n v="5.4"/>
    <n v="300"/>
    <s v="High HP"/>
    <s v="Car"/>
    <n v="15"/>
    <n v="123.97204670000001"/>
    <n v="119"/>
    <n v="79.900000000000006"/>
    <n v="204.8"/>
    <n v="5.3929999999999998"/>
    <n v="30"/>
    <d v="2012-12-23T00:00:00"/>
  </r>
  <r>
    <x v="16"/>
    <x v="77"/>
    <n v="26232"/>
    <n v="13987"/>
    <n v="8325"/>
    <n v="0.59519553871452058"/>
    <s v="POOR"/>
    <n v="1.8"/>
    <n v="113"/>
    <s v="Medium HP"/>
    <s v="Passenger"/>
    <n v="30"/>
    <n v="45.832180559999998"/>
    <n v="98.4"/>
    <n v="66.5"/>
    <n v="173.6"/>
    <n v="2.25"/>
    <n v="13.2"/>
    <d v="2012-04-23T00:00:00"/>
  </r>
  <r>
    <x v="16"/>
    <x v="78"/>
    <n v="42541"/>
    <n v="19047"/>
    <n v="10395"/>
    <n v="0.54575523704520401"/>
    <s v="POOR"/>
    <n v="2.4"/>
    <n v="154"/>
    <s v="Medium HP"/>
    <s v="Passenger"/>
    <n v="24"/>
    <n v="62.441962349999997"/>
    <n v="100.8"/>
    <n v="68.900000000000006"/>
    <n v="175.4"/>
    <n v="2.91"/>
    <n v="15.9"/>
    <d v="2012-11-24T00:00:00"/>
  </r>
  <r>
    <x v="16"/>
    <x v="79"/>
    <n v="55616"/>
    <n v="17357"/>
    <n v="10595"/>
    <n v="0.61041654663824396"/>
    <s v="POOR"/>
    <n v="2.4"/>
    <n v="145"/>
    <s v="Medium HP"/>
    <s v="Passenger"/>
    <n v="25"/>
    <n v="58.606772919999997"/>
    <n v="103.7"/>
    <n v="68.5"/>
    <n v="187.8"/>
    <n v="2.9449999999999998"/>
    <n v="16.3"/>
    <d v="2012-01-29T00:00:00"/>
  </r>
  <r>
    <x v="16"/>
    <x v="80"/>
    <n v="5711"/>
    <n v="24997"/>
    <n v="16575"/>
    <n v="0.66307956954834579"/>
    <s v="POOR"/>
    <n v="3.5"/>
    <n v="210"/>
    <s v="Medium HP"/>
    <s v="Passenger"/>
    <n v="22"/>
    <n v="84.83077858"/>
    <n v="107.1"/>
    <n v="70.3"/>
    <n v="194.1"/>
    <n v="3.4430000000000001"/>
    <n v="19"/>
    <d v="2012-08-28T00:00:00"/>
  </r>
  <r>
    <x v="16"/>
    <x v="81"/>
    <n v="110"/>
    <n v="25450"/>
    <n v="20940"/>
    <n v="0.82278978388998036"/>
    <s v="GOOD"/>
    <n v="3"/>
    <n v="161"/>
    <s v="Medium HP"/>
    <s v="Passenger"/>
    <n v="21"/>
    <n v="67.544154939999999"/>
    <n v="97.2"/>
    <n v="72.400000000000006"/>
    <n v="180.3"/>
    <n v="3.1309999999999998"/>
    <n v="19.8"/>
    <d v="2012-06-29T00:00:00"/>
  </r>
  <r>
    <x v="16"/>
    <x v="82"/>
    <n v="11337"/>
    <n v="31807"/>
    <n v="19125"/>
    <n v="0.601282736504543"/>
    <s v="POOR"/>
    <n v="3.5"/>
    <n v="200"/>
    <s v="Medium HP"/>
    <s v="Car"/>
    <n v="18"/>
    <n v="83.920815039999994"/>
    <n v="107.3"/>
    <n v="69.900000000000006"/>
    <n v="186.6"/>
    <n v="4.5199999999999996"/>
    <n v="24.3"/>
    <d v="2012-01-17T00:00:00"/>
  </r>
  <r>
    <x v="16"/>
    <x v="83"/>
    <n v="39348"/>
    <n v="22527"/>
    <n v="13880"/>
    <n v="0.6161495094775159"/>
    <s v="POOR"/>
    <n v="3"/>
    <n v="173"/>
    <s v="Medium HP"/>
    <s v="Car"/>
    <n v="20"/>
    <n v="70.660941789999995"/>
    <n v="107.3"/>
    <n v="66.7"/>
    <n v="178.3"/>
    <n v="3.51"/>
    <n v="19.5"/>
    <d v="2012-05-18T00:00:00"/>
  </r>
  <r>
    <x v="17"/>
    <x v="84"/>
    <n v="14351"/>
    <n v="16239.999999999998"/>
    <n v="8800"/>
    <n v="0.54187192118226613"/>
    <s v="POOR"/>
    <n v="2"/>
    <n v="125"/>
    <s v="Medium HP"/>
    <s v="Passenger"/>
    <n v="28"/>
    <n v="50.997747609999998"/>
    <n v="106.5"/>
    <n v="69.099999999999994"/>
    <n v="184.8"/>
    <n v="2.7690000000000001"/>
    <n v="15"/>
    <d v="2012-12-19T00:00:00"/>
  </r>
  <r>
    <x v="17"/>
    <x v="85"/>
    <n v="26529"/>
    <n v="16540"/>
    <n v="13890"/>
    <n v="0.83978234582829503"/>
    <s v="GOOD"/>
    <n v="2"/>
    <n v="125"/>
    <s v="Medium HP"/>
    <s v="Passenger"/>
    <n v="30"/>
    <n v="51.113474259999997"/>
    <n v="106.4"/>
    <n v="69.599999999999994"/>
    <n v="185"/>
    <n v="2.8919999999999999"/>
    <n v="16"/>
    <d v="2012-02-23T00:00:00"/>
  </r>
  <r>
    <x v="17"/>
    <x v="86"/>
    <n v="67956"/>
    <n v="19035"/>
    <n v="11030"/>
    <n v="0.57945889151562913"/>
    <s v="POOR"/>
    <n v="3"/>
    <n v="153"/>
    <s v="Medium HP"/>
    <s v="Passenger"/>
    <n v="24"/>
    <n v="62.239966629999998"/>
    <n v="108.5"/>
    <n v="73"/>
    <n v="199.7"/>
    <n v="3.379"/>
    <n v="16"/>
    <d v="2012-09-22T00:00:00"/>
  </r>
  <r>
    <x v="17"/>
    <x v="87"/>
    <n v="81174"/>
    <n v="22605"/>
    <n v="14875"/>
    <n v="0.65804025658040255"/>
    <s v="POOR"/>
    <n v="4.5999999999999996"/>
    <n v="200"/>
    <s v="Medium HP"/>
    <s v="Passenger"/>
    <n v="21"/>
    <n v="80.657696459999997"/>
    <n v="114.7"/>
    <n v="78.2"/>
    <n v="212"/>
    <n v="3.9580000000000002"/>
    <n v="19"/>
    <d v="2012-07-24T00:00:00"/>
  </r>
  <r>
    <x v="17"/>
    <x v="88"/>
    <n v="27609"/>
    <n v="27560"/>
    <n v="20430"/>
    <n v="0.74129172714078373"/>
    <s v="GOOD"/>
    <n v="4"/>
    <n v="210"/>
    <s v="Medium HP"/>
    <s v="Car"/>
    <n v="18"/>
    <n v="85.949744249999995"/>
    <n v="111.6"/>
    <n v="70.2"/>
    <n v="190.1"/>
    <n v="3.8759999999999999"/>
    <n v="21"/>
    <d v="2008-02-13T00:00:00"/>
  </r>
  <r>
    <x v="17"/>
    <x v="89"/>
    <n v="20380"/>
    <n v="22510"/>
    <n v="14795"/>
    <n v="0.65726343847179036"/>
    <s v="POOR"/>
    <n v="3.3"/>
    <n v="170"/>
    <s v="Medium HP"/>
    <s v="Car"/>
    <n v="21"/>
    <n v="69.671460999999994"/>
    <n v="112.2"/>
    <n v="74.900000000000006"/>
    <n v="194.7"/>
    <n v="3.944"/>
    <n v="20"/>
    <d v="2009-10-20T00:00:00"/>
  </r>
  <r>
    <x v="18"/>
    <x v="90"/>
    <n v="18392"/>
    <n v="31750"/>
    <n v="26050"/>
    <n v="0.82047244094488192"/>
    <s v="GOOD"/>
    <n v="2.2999999999999998"/>
    <n v="185"/>
    <s v="Medium HP"/>
    <s v="Passenger"/>
    <n v="26"/>
    <n v="78.280730879999993"/>
    <n v="105.9"/>
    <n v="67.7"/>
    <n v="177.4"/>
    <n v="3.25"/>
    <n v="16.399999999999999"/>
    <d v="2011-04-24T00:00:00"/>
  </r>
  <r>
    <x v="18"/>
    <x v="91"/>
    <n v="27602"/>
    <n v="49900"/>
    <n v="41450"/>
    <n v="0.83066132264529058"/>
    <s v="GOOD"/>
    <n v="3.2"/>
    <n v="221"/>
    <s v="Medium HP"/>
    <s v="Passenger"/>
    <n v="25"/>
    <n v="98.249737499999995"/>
    <n v="111.5"/>
    <n v="70.8"/>
    <n v="189.4"/>
    <n v="3.823"/>
    <n v="21.1"/>
    <d v="2011-07-12T00:00:00"/>
  </r>
  <r>
    <x v="18"/>
    <x v="92"/>
    <n v="16774"/>
    <n v="69700"/>
    <n v="50375"/>
    <n v="0.72274031563845054"/>
    <s v="GOOD"/>
    <n v="4.3"/>
    <n v="275"/>
    <s v="Medium HP"/>
    <s v="Passenger"/>
    <n v="21"/>
    <n v="125.2738757"/>
    <n v="121.5"/>
    <n v="73.099999999999994"/>
    <n v="203.1"/>
    <n v="4.133"/>
    <n v="23.2"/>
    <d v="2011-06-13T00:00:00"/>
  </r>
  <r>
    <x v="18"/>
    <x v="93"/>
    <n v="3311"/>
    <n v="82600"/>
    <n v="58600"/>
    <n v="0.70944309927360771"/>
    <s v="GOOD"/>
    <n v="5"/>
    <n v="302"/>
    <s v="High HP"/>
    <s v="Passenger"/>
    <n v="20"/>
    <n v="139.98229359999999"/>
    <n v="99"/>
    <n v="71.3"/>
    <n v="177.1"/>
    <n v="4.125"/>
    <n v="21.1"/>
    <d v="2011-03-17T00:00:00"/>
  </r>
  <r>
    <x v="18"/>
    <x v="94"/>
    <n v="7998"/>
    <n v="38900"/>
    <n v="32436"/>
    <n v="0.83383033419023134"/>
    <s v="GOOD"/>
    <n v="2.2999999999999998"/>
    <n v="190"/>
    <s v="Medium HP"/>
    <s v="Passenger"/>
    <n v="26"/>
    <n v="82.807361929999999"/>
    <n v="94.5"/>
    <n v="67.5"/>
    <n v="157.9"/>
    <n v="3.0550000000000002"/>
    <n v="15.9"/>
    <d v="2011-01-16T00:00:00"/>
  </r>
  <r>
    <x v="18"/>
    <x v="95"/>
    <n v="1526"/>
    <n v="41000"/>
    <n v="28635"/>
    <n v="0.69841463414634142"/>
    <s v="GOOD"/>
    <n v="2.2999999999999998"/>
    <n v="185"/>
    <s v="Medium HP"/>
    <s v="Passenger"/>
    <n v="27"/>
    <n v="81.848969240000002"/>
    <n v="94.5"/>
    <n v="67.5"/>
    <n v="157.30000000000001"/>
    <n v="2.9750000000000001"/>
    <n v="14"/>
    <d v="2011-08-06T00:00:00"/>
  </r>
  <r>
    <x v="18"/>
    <x v="96"/>
    <n v="11592"/>
    <n v="41600"/>
    <n v="29200"/>
    <n v="0.70192307692307687"/>
    <s v="GOOD"/>
    <n v="3.2"/>
    <n v="215"/>
    <s v="Medium HP"/>
    <s v="Passenger"/>
    <n v="26"/>
    <n v="92.925791770000004"/>
    <n v="105.9"/>
    <n v="67.8"/>
    <n v="180.3"/>
    <n v="3.2130000000000001"/>
    <n v="16.399999999999999"/>
    <d v="2011-07-08T00:00:00"/>
  </r>
  <r>
    <x v="18"/>
    <x v="97"/>
    <n v="954"/>
    <n v="85500"/>
    <n v="63423"/>
    <n v="0.74178947368421055"/>
    <s v="GOOD"/>
    <n v="5"/>
    <n v="302"/>
    <s v="High HP"/>
    <s v="Passenger"/>
    <n v="20"/>
    <n v="141.10098450000001"/>
    <n v="113.6"/>
    <n v="73.099999999999994"/>
    <n v="196.6"/>
    <n v="4.1150000000000002"/>
    <n v="23.2"/>
    <d v="2011-04-11T00:00:00"/>
  </r>
  <r>
    <x v="18"/>
    <x v="98"/>
    <n v="28976"/>
    <n v="35300"/>
    <n v="28720"/>
    <n v="0.81359773371104815"/>
    <s v="GOOD"/>
    <n v="3.2"/>
    <n v="215"/>
    <s v="Medium HP"/>
    <s v="Car"/>
    <n v="20"/>
    <n v="90.495532130000001"/>
    <n v="111"/>
    <n v="72.2"/>
    <n v="180.6"/>
    <n v="4.3869999999999996"/>
    <n v="19"/>
    <d v="2011-02-10T00:00:00"/>
  </r>
  <r>
    <x v="19"/>
    <x v="99"/>
    <n v="42643"/>
    <n v="13499"/>
    <n v="8450"/>
    <n v="0.62597229424401812"/>
    <s v="POOR"/>
    <n v="1.8"/>
    <n v="126"/>
    <s v="Medium HP"/>
    <s v="Passenger"/>
    <n v="30"/>
    <n v="50.241977910000003"/>
    <n v="99.8"/>
    <n v="67.3"/>
    <n v="177.5"/>
    <n v="2.593"/>
    <n v="13.2"/>
    <d v="2011-08-31T00:00:00"/>
  </r>
  <r>
    <x v="19"/>
    <x v="100"/>
    <n v="88094"/>
    <n v="20390"/>
    <n v="11295"/>
    <n v="0.55394801373222169"/>
    <s v="POOR"/>
    <n v="2.4"/>
    <n v="155"/>
    <s v="Medium HP"/>
    <s v="Passenger"/>
    <n v="25"/>
    <n v="63.313727829999998"/>
    <n v="103.1"/>
    <n v="69.099999999999994"/>
    <n v="183.5"/>
    <n v="3.012"/>
    <n v="15.9"/>
    <d v="2011-08-02T00:00:00"/>
  </r>
  <r>
    <x v="19"/>
    <x v="101"/>
    <n v="79853"/>
    <n v="26249"/>
    <n v="15125"/>
    <n v="0.57621242714008147"/>
    <s v="POOR"/>
    <n v="3"/>
    <n v="222"/>
    <s v="Medium HP"/>
    <s v="Passenger"/>
    <n v="25"/>
    <n v="89.427820310000001"/>
    <n v="108.3"/>
    <n v="70.3"/>
    <n v="190.5"/>
    <n v="3.294"/>
    <n v="18.5"/>
    <d v="2011-05-06T00:00:00"/>
  </r>
  <r>
    <x v="19"/>
    <x v="102"/>
    <n v="27308"/>
    <n v="26399"/>
    <n v="15380"/>
    <n v="0.58259782567521501"/>
    <s v="POOR"/>
    <n v="3.3"/>
    <n v="170"/>
    <s v="Medium HP"/>
    <s v="Car"/>
    <n v="21"/>
    <n v="71.171664129999996"/>
    <n v="112.2"/>
    <n v="74.900000000000006"/>
    <n v="194.8"/>
    <n v="3.9910000000000001"/>
    <n v="20"/>
    <d v="2011-03-07T00:00:00"/>
  </r>
  <r>
    <x v="19"/>
    <x v="103"/>
    <n v="42574"/>
    <n v="29299"/>
    <n v="17810"/>
    <n v="0.60787057578756953"/>
    <s v="POOR"/>
    <n v="3.3"/>
    <n v="170"/>
    <s v="Medium HP"/>
    <s v="Car"/>
    <n v="19"/>
    <n v="72.290355079999998"/>
    <n v="106.3"/>
    <n v="71.7"/>
    <n v="182.6"/>
    <n v="3.9470000000000001"/>
    <n v="21"/>
    <d v="2011-09-25T00:00:00"/>
  </r>
  <r>
    <x v="19"/>
    <x v="104"/>
    <n v="54158"/>
    <n v="22799"/>
    <n v="13093"/>
    <n v="0.57427957366551163"/>
    <s v="POOR"/>
    <n v="3.3"/>
    <n v="170"/>
    <s v="Medium HP"/>
    <s v="Car"/>
    <n v="18"/>
    <n v="69.78294434"/>
    <n v="104.3"/>
    <n v="70.400000000000006"/>
    <n v="178"/>
    <n v="3.8210000000000002"/>
    <n v="19.399999999999999"/>
    <d v="2011-01-24T00:00:00"/>
  </r>
  <r>
    <x v="19"/>
    <x v="105"/>
    <n v="65004.999999999993"/>
    <n v="17890"/>
    <n v="10670"/>
    <n v="0.59642258244829516"/>
    <s v="POOR"/>
    <n v="3.3"/>
    <n v="170"/>
    <s v="Medium HP"/>
    <s v="Car"/>
    <n v="18"/>
    <n v="67.889270589999995"/>
    <n v="116.1"/>
    <n v="66.5"/>
    <n v="196.1"/>
    <n v="3.2170000000000001"/>
    <n v="19.399999999999999"/>
    <d v="2011-08-27T00:00:00"/>
  </r>
  <r>
    <x v="20"/>
    <x v="106"/>
    <n v="1112"/>
    <n v="18145"/>
    <n v="11240"/>
    <n v="0.61945439515017908"/>
    <s v="POOR"/>
    <n v="3.1"/>
    <n v="150"/>
    <s v="Medium HP"/>
    <s v="Passenger"/>
    <n v="25"/>
    <n v="60.861611549999999"/>
    <n v="107"/>
    <n v="69.400000000000006"/>
    <n v="192"/>
    <n v="3.1019999999999999"/>
    <n v="15.2"/>
    <d v="2011-05-31T00:00:00"/>
  </r>
  <r>
    <x v="20"/>
    <x v="107"/>
    <n v="38554"/>
    <n v="24150"/>
    <n v="17100"/>
    <n v="0.70807453416149069"/>
    <s v="GOOD"/>
    <n v="3.5"/>
    <n v="215"/>
    <s v="Medium HP"/>
    <s v="Passenger"/>
    <n v="23"/>
    <n v="86.272522910000006"/>
    <n v="109"/>
    <n v="73.599999999999994"/>
    <n v="195.9"/>
    <n v="3.4550000000000001"/>
    <n v="18"/>
    <d v="2011-04-01T00:00:00"/>
  </r>
  <r>
    <x v="20"/>
    <x v="108"/>
    <n v="80255"/>
    <n v="18270"/>
    <n v="11459"/>
    <n v="0.62720306513409962"/>
    <s v="POOR"/>
    <n v="2.4"/>
    <n v="150"/>
    <s v="Medium HP"/>
    <s v="Passenger"/>
    <n v="27"/>
    <n v="60.727446929999999"/>
    <n v="107"/>
    <n v="70.099999999999994"/>
    <n v="186.7"/>
    <n v="2.9580000000000002"/>
    <n v="15"/>
    <d v="2009-10-20T00:00:00"/>
  </r>
  <r>
    <x v="20"/>
    <x v="109"/>
    <n v="14690"/>
    <n v="36229"/>
    <n v="19890"/>
    <n v="0.54900770101300067"/>
    <s v="POOR"/>
    <n v="4"/>
    <n v="250"/>
    <s v="Medium HP"/>
    <s v="Passenger"/>
    <n v="22"/>
    <n v="103.4416926"/>
    <n v="113.8"/>
    <n v="74.400000000000006"/>
    <n v="205.4"/>
    <n v="3.9670000000000001"/>
    <n v="18.5"/>
    <d v="2011-02-18T00:00:00"/>
  </r>
  <r>
    <x v="20"/>
    <x v="110"/>
    <n v="20017"/>
    <n v="31598"/>
    <n v="19925"/>
    <n v="0.63057788467624531"/>
    <s v="POOR"/>
    <n v="4.3"/>
    <n v="190"/>
    <s v="Medium HP"/>
    <s v="Car"/>
    <n v="19"/>
    <n v="80.511672590000003"/>
    <n v="107"/>
    <n v="67.8"/>
    <n v="181.2"/>
    <n v="4.0679999999999996"/>
    <n v="17.5"/>
    <d v="2011-09-21T00:00:00"/>
  </r>
  <r>
    <x v="20"/>
    <x v="111"/>
    <n v="24361"/>
    <n v="25345"/>
    <n v="15240"/>
    <n v="0.60130203195896625"/>
    <s v="POOR"/>
    <n v="3.4"/>
    <n v="185"/>
    <s v="Medium HP"/>
    <s v="Car"/>
    <n v="22"/>
    <n v="76.096570420000006"/>
    <n v="120"/>
    <n v="72.2"/>
    <n v="201.4"/>
    <n v="3.948"/>
    <n v="25"/>
    <d v="2011-06-25T00:00:00"/>
  </r>
  <r>
    <x v="21"/>
    <x v="33"/>
    <n v="32734"/>
    <n v="12640"/>
    <n v="7750"/>
    <n v="0.61313291139240511"/>
    <s v="POOR"/>
    <n v="2"/>
    <n v="132"/>
    <s v="Medium HP"/>
    <s v="Passenger"/>
    <n v="29"/>
    <n v="52.084898750000001"/>
    <n v="105"/>
    <n v="74.400000000000006"/>
    <n v="174.4"/>
    <n v="2.5590000000000002"/>
    <n v="12.5"/>
    <d v="2011-04-26T00:00:00"/>
  </r>
  <r>
    <x v="21"/>
    <x v="112"/>
    <n v="5240"/>
    <n v="16079.999999999998"/>
    <n v="9800"/>
    <n v="0.60945273631840802"/>
    <s v="POOR"/>
    <n v="2"/>
    <n v="132"/>
    <s v="Medium HP"/>
    <s v="Passenger"/>
    <n v="27"/>
    <n v="53.411897670000002"/>
    <n v="108"/>
    <n v="71"/>
    <n v="186.3"/>
    <n v="2.9420000000000002"/>
    <n v="16"/>
    <d v="2011-11-14T00:00:00"/>
  </r>
  <r>
    <x v="21"/>
    <x v="113"/>
    <n v="24155"/>
    <n v="18850"/>
    <n v="12025"/>
    <n v="0.63793103448275867"/>
    <s v="POOR"/>
    <n v="2.4"/>
    <n v="150"/>
    <s v="Medium HP"/>
    <s v="Car"/>
    <n v="24"/>
    <n v="60.951185119999998"/>
    <n v="113.3"/>
    <n v="76.8"/>
    <n v="186.3"/>
    <n v="3.528"/>
    <n v="20"/>
    <d v="2011-04-24T00:00:00"/>
  </r>
  <r>
    <x v="21"/>
    <x v="114"/>
    <n v="1872"/>
    <n v="43000"/>
    <n v="30434"/>
    <n v="0.70776744186046514"/>
    <s v="GOOD"/>
    <n v="3.5"/>
    <n v="253"/>
    <s v="Medium HP"/>
    <s v="Passenger"/>
    <n v="21"/>
    <n v="106.98445630000001"/>
    <n v="113.3"/>
    <n v="76.3"/>
    <n v="165.4"/>
    <n v="2.85"/>
    <n v="12"/>
    <d v="2012-06-27T00:00:00"/>
  </r>
  <r>
    <x v="22"/>
    <x v="115"/>
    <n v="51645"/>
    <n v="21610"/>
    <n v="13790"/>
    <n v="0.6381304951411384"/>
    <s v="POOR"/>
    <n v="2.4"/>
    <n v="150"/>
    <s v="Medium HP"/>
    <s v="Passenger"/>
    <n v="27"/>
    <n v="62.015870300000003"/>
    <n v="104.1"/>
    <n v="68.400000000000006"/>
    <n v="181.9"/>
    <n v="2.9060000000000001"/>
    <n v="15"/>
    <d v="2012-01-25T00:00:00"/>
  </r>
  <r>
    <x v="22"/>
    <x v="116"/>
    <n v="131097"/>
    <n v="19720"/>
    <n v="10290"/>
    <n v="0.52180527383367137"/>
    <s v="POOR"/>
    <n v="3.4"/>
    <n v="175"/>
    <s v="Medium HP"/>
    <s v="Passenger"/>
    <n v="25"/>
    <n v="70.389737260000004"/>
    <n v="107"/>
    <n v="70.400000000000006"/>
    <n v="186.3"/>
    <n v="3.0910000000000002"/>
    <n v="15.2"/>
    <d v="2012-11-26T00:00:00"/>
  </r>
  <r>
    <x v="22"/>
    <x v="117"/>
    <n v="19911"/>
    <n v="25310"/>
    <n v="17805"/>
    <n v="0.70347688660608454"/>
    <s v="GOOD"/>
    <n v="3.8"/>
    <n v="200"/>
    <s v="Medium HP"/>
    <s v="Passenger"/>
    <n v="25"/>
    <n v="81.492726160000004"/>
    <n v="101.1"/>
    <n v="74.5"/>
    <n v="193.4"/>
    <n v="3.492"/>
    <n v="16.8"/>
    <d v="2012-06-16T00:00:00"/>
  </r>
  <r>
    <x v="22"/>
    <x v="118"/>
    <n v="92364"/>
    <n v="21665"/>
    <n v="14010"/>
    <n v="0.6466651280867759"/>
    <s v="POOR"/>
    <n v="3.8"/>
    <n v="195"/>
    <s v="Medium HP"/>
    <s v="Passenger"/>
    <n v="25"/>
    <n v="78.318168130000004"/>
    <n v="110.5"/>
    <n v="72.7"/>
    <n v="196.5"/>
    <n v="3.3959999999999999"/>
    <n v="18"/>
    <d v="2012-10-15T00:00:00"/>
  </r>
  <r>
    <x v="22"/>
    <x v="119"/>
    <n v="35945"/>
    <n v="23755"/>
    <n v="13225"/>
    <n v="0.55672490002104824"/>
    <s v="POOR"/>
    <n v="3.8"/>
    <n v="205"/>
    <s v="Medium HP"/>
    <s v="Passenger"/>
    <n v="24"/>
    <n v="82.661355599999993"/>
    <n v="112.2"/>
    <n v="72.599999999999994"/>
    <n v="202.5"/>
    <n v="3.59"/>
    <n v="17.5"/>
    <d v="2011-05-18T00:00:00"/>
  </r>
  <r>
    <x v="22"/>
    <x v="120"/>
    <n v="39572"/>
    <n v="25635"/>
    <n v="14215"/>
    <n v="0.55451531109810803"/>
    <s v="POOR"/>
    <n v="3.4"/>
    <n v="185"/>
    <s v="Medium HP"/>
    <s v="Car"/>
    <n v="23"/>
    <n v="76.208439519999999"/>
    <n v="120"/>
    <n v="72.7"/>
    <n v="201.3"/>
    <n v="3.9420000000000002"/>
    <n v="25"/>
    <d v="2012-07-22T00:00:00"/>
  </r>
  <r>
    <x v="23"/>
    <x v="121"/>
    <n v="8982"/>
    <n v="41430"/>
    <n v="41250"/>
    <n v="0.99565532223026787"/>
    <s v="GOOD"/>
    <n v="2.7"/>
    <n v="217"/>
    <s v="Medium HP"/>
    <s v="Passenger"/>
    <n v="22"/>
    <n v="93.437330700000004"/>
    <n v="95.2"/>
    <n v="70.099999999999994"/>
    <n v="171"/>
    <n v="2.778"/>
    <n v="17"/>
    <d v="2012-02-19T00:00:00"/>
  </r>
  <r>
    <x v="23"/>
    <x v="122"/>
    <n v="1280"/>
    <n v="71020"/>
    <n v="60625"/>
    <n v="0.85363277949873273"/>
    <s v="GOOD"/>
    <n v="3.4"/>
    <n v="300"/>
    <s v="High HP"/>
    <s v="Passenger"/>
    <n v="21"/>
    <n v="134.3909754"/>
    <n v="92.6"/>
    <n v="69.5"/>
    <n v="174.5"/>
    <n v="3.032"/>
    <n v="17"/>
    <d v="2012-12-21T00:00:00"/>
  </r>
  <r>
    <x v="23"/>
    <x v="123"/>
    <n v="1866"/>
    <n v="74970"/>
    <n v="67550"/>
    <n v="0.90102707749766575"/>
    <s v="GOOD"/>
    <n v="3.4"/>
    <n v="300"/>
    <s v="High HP"/>
    <s v="Passenger"/>
    <n v="23"/>
    <n v="135.91470960000001"/>
    <n v="92.6"/>
    <n v="69.5"/>
    <n v="174.5"/>
    <n v="3.0750000000000002"/>
    <n v="17"/>
    <d v="2011-07-11T00:00:00"/>
  </r>
  <r>
    <x v="24"/>
    <x v="124"/>
    <n v="9191"/>
    <n v="33120"/>
    <n v="22789"/>
    <n v="0.68807367149758458"/>
    <s v="POOR"/>
    <n v="2.2999999999999998"/>
    <n v="170"/>
    <s v="Medium HP"/>
    <s v="Passenger"/>
    <n v="23"/>
    <n v="73.503778190000006"/>
    <n v="106.4"/>
    <n v="70.599999999999994"/>
    <n v="189.2"/>
    <n v="3.28"/>
    <n v="18.5"/>
    <d v="2012-11-09T00:00:00"/>
  </r>
  <r>
    <x v="24"/>
    <x v="125"/>
    <n v="12115"/>
    <n v="26100"/>
    <n v="18255"/>
    <n v="0.69942528735632181"/>
    <s v="GOOD"/>
    <n v="2"/>
    <n v="185"/>
    <s v="Medium HP"/>
    <s v="Passenger"/>
    <n v="23"/>
    <n v="76.02304771"/>
    <n v="102.6"/>
    <n v="67.400000000000006"/>
    <n v="182.2"/>
    <n v="2.99"/>
    <n v="16.899999999999999"/>
    <d v="2011-06-12T00:00:00"/>
  </r>
  <r>
    <x v="25"/>
    <x v="126"/>
    <n v="80620"/>
    <n v="10685"/>
    <n v="9200"/>
    <n v="0.86102012166588671"/>
    <s v="GOOD"/>
    <n v="1.9"/>
    <n v="100"/>
    <s v="Medium HP"/>
    <s v="Passenger"/>
    <n v="33"/>
    <n v="39.986424749999998"/>
    <n v="102.4"/>
    <n v="66.400000000000006"/>
    <n v="176.9"/>
    <n v="2.3319999999999999"/>
    <n v="12.1"/>
    <d v="2012-08-16T00:00:00"/>
  </r>
  <r>
    <x v="25"/>
    <x v="127"/>
    <n v="24546"/>
    <n v="12535"/>
    <n v="10590"/>
    <n v="0.84483446350219382"/>
    <s v="GOOD"/>
    <n v="1.9"/>
    <n v="100"/>
    <s v="Medium HP"/>
    <s v="Passenger"/>
    <n v="33"/>
    <n v="40.700072419999998"/>
    <n v="102.4"/>
    <n v="66.400000000000006"/>
    <n v="180"/>
    <n v="2.367"/>
    <n v="12.1"/>
    <d v="2011-03-16T00:00:00"/>
  </r>
  <r>
    <x v="25"/>
    <x v="128"/>
    <n v="5223"/>
    <n v="14290"/>
    <n v="10790"/>
    <n v="0.75507347795661306"/>
    <s v="GOOD"/>
    <n v="1.9"/>
    <n v="124"/>
    <s v="Medium HP"/>
    <s v="Passenger"/>
    <n v="31"/>
    <n v="49.865773670000003"/>
    <n v="102.4"/>
    <n v="66.400000000000006"/>
    <n v="176.9"/>
    <n v="2.452"/>
    <n v="12.1"/>
    <d v="2011-01-15T00:00:00"/>
  </r>
  <r>
    <x v="25"/>
    <x v="129"/>
    <n v="8472"/>
    <n v="18835"/>
    <n v="13700"/>
    <n v="0.72736925935757901"/>
    <s v="GOOD"/>
    <n v="2.2000000000000002"/>
    <n v="137"/>
    <s v="Medium HP"/>
    <s v="Passenger"/>
    <n v="27"/>
    <n v="56.295243040000003"/>
    <n v="106.5"/>
    <n v="69"/>
    <n v="190.4"/>
    <n v="3.0750000000000002"/>
    <n v="13.1"/>
    <d v="2011-08-05T00:00:00"/>
  </r>
  <r>
    <x v="25"/>
    <x v="130"/>
    <n v="49989"/>
    <n v="15010"/>
    <n v="9900"/>
    <n v="0.65956029313790809"/>
    <s v="POOR"/>
    <n v="2.2000000000000002"/>
    <n v="137"/>
    <s v="Medium HP"/>
    <s v="Passenger"/>
    <n v="28"/>
    <n v="54.819728249999997"/>
    <n v="106.5"/>
    <n v="69"/>
    <n v="190.4"/>
    <n v="2.91"/>
    <n v="13.1"/>
    <d v="2012-12-04T00:00:00"/>
  </r>
  <r>
    <x v="26"/>
    <x v="131"/>
    <n v="47107"/>
    <n v="22695"/>
    <n v="16770"/>
    <n v="0.73892927957699939"/>
    <s v="GOOD"/>
    <n v="2.5"/>
    <n v="165"/>
    <s v="Medium HP"/>
    <s v="Passenger"/>
    <n v="25"/>
    <n v="67.765907600000006"/>
    <n v="103.5"/>
    <n v="67.5"/>
    <n v="185.8"/>
    <n v="3.415"/>
    <n v="16.899999999999999"/>
    <d v="2011-07-07T00:00:00"/>
  </r>
  <r>
    <x v="26"/>
    <x v="132"/>
    <n v="33028"/>
    <n v="20095"/>
    <n v="14832"/>
    <n v="0.73809405324707644"/>
    <s v="GOOD"/>
    <n v="2.5"/>
    <n v="165"/>
    <s v="Medium HP"/>
    <s v="Car"/>
    <n v="24"/>
    <n v="66.762943309999997"/>
    <n v="99.4"/>
    <n v="68.3"/>
    <n v="175.2"/>
    <n v="3.125"/>
    <n v="15.9"/>
    <d v="2012-09-10T00:00:00"/>
  </r>
  <r>
    <x v="27"/>
    <x v="133"/>
    <n v="142535"/>
    <n v="13108"/>
    <n v="10025"/>
    <n v="0.76480012206286241"/>
    <s v="GOOD"/>
    <n v="1.8"/>
    <n v="120"/>
    <s v="Medium HP"/>
    <s v="Passenger"/>
    <n v="33"/>
    <n v="47.96897242"/>
    <n v="97"/>
    <n v="66.7"/>
    <n v="174"/>
    <n v="2.42"/>
    <n v="13.2"/>
    <d v="2011-04-11T00:00:00"/>
  </r>
  <r>
    <x v="27"/>
    <x v="134"/>
    <n v="247994"/>
    <n v="17518"/>
    <n v="13245"/>
    <n v="0.75607946112569924"/>
    <s v="GOOD"/>
    <n v="2.2000000000000002"/>
    <n v="133"/>
    <s v="Medium HP"/>
    <s v="Passenger"/>
    <n v="27"/>
    <n v="54.372419649999998"/>
    <n v="105.2"/>
    <n v="70.099999999999994"/>
    <n v="188.5"/>
    <n v="2.9980000000000002"/>
    <n v="18.5"/>
    <d v="2011-02-10T00:00:00"/>
  </r>
  <r>
    <x v="27"/>
    <x v="135"/>
    <n v="63849"/>
    <n v="25545"/>
    <n v="18140"/>
    <n v="0.71011939714229788"/>
    <s v="GOOD"/>
    <n v="3"/>
    <n v="210"/>
    <s v="Medium HP"/>
    <s v="Passenger"/>
    <n v="26"/>
    <n v="84.911898260000001"/>
    <n v="107.1"/>
    <n v="71.7"/>
    <n v="191.9"/>
    <n v="3.4169999999999998"/>
    <n v="18.5"/>
    <d v="2011-08-31T00:00:00"/>
  </r>
  <r>
    <x v="27"/>
    <x v="136"/>
    <n v="33269"/>
    <n v="16875"/>
    <n v="15445"/>
    <n v="0.91525925925925922"/>
    <s v="GOOD"/>
    <n v="1.8"/>
    <n v="140"/>
    <s v="Medium HP"/>
    <s v="Passenger"/>
    <n v="31"/>
    <n v="56.496030339999997"/>
    <n v="102.4"/>
    <n v="68.3"/>
    <n v="170.5"/>
    <n v="2.4249999999999998"/>
    <n v="14.5"/>
    <d v="2012-12-29T00:00:00"/>
  </r>
  <r>
    <x v="27"/>
    <x v="137"/>
    <n v="84087"/>
    <n v="11528"/>
    <n v="9575"/>
    <n v="0.83058639833448988"/>
    <s v="GOOD"/>
    <n v="2.4"/>
    <n v="142"/>
    <s v="Medium HP"/>
    <s v="Car"/>
    <n v="23"/>
    <n v="55.297116580000001"/>
    <n v="103.3"/>
    <n v="66.5"/>
    <n v="178.7"/>
    <n v="2.58"/>
    <n v="15.1"/>
    <d v="2011-08-01T00:00:00"/>
  </r>
  <r>
    <x v="27"/>
    <x v="138"/>
    <n v="65119"/>
    <n v="22368"/>
    <n v="18689"/>
    <n v="0.83552396280400576"/>
    <s v="GOOD"/>
    <n v="3"/>
    <n v="194"/>
    <s v="Medium HP"/>
    <s v="Car"/>
    <n v="22"/>
    <n v="78.027219470000006"/>
    <n v="114.2"/>
    <n v="73.400000000000006"/>
    <n v="193.5"/>
    <n v="3.7589999999999999"/>
    <n v="20.9"/>
    <d v="2012-10-05T00:00:00"/>
  </r>
  <r>
    <x v="27"/>
    <x v="139"/>
    <n v="25106"/>
    <n v="16888"/>
    <n v="13325"/>
    <n v="0.78902179062055899"/>
    <s v="GOOD"/>
    <n v="2"/>
    <n v="127"/>
    <s v="Medium HP"/>
    <s v="Car"/>
    <n v="27"/>
    <n v="51.955108869999997"/>
    <n v="94.9"/>
    <n v="66.7"/>
    <n v="163.80000000000001"/>
    <n v="2.6680000000000001"/>
    <n v="15.3"/>
    <d v="2011-05-06T00:00:00"/>
  </r>
  <r>
    <x v="27"/>
    <x v="140"/>
    <n v="68411"/>
    <n v="22288"/>
    <n v="19425"/>
    <n v="0.87154522613065322"/>
    <s v="GOOD"/>
    <n v="2.7"/>
    <n v="150"/>
    <s v="Medium HP"/>
    <s v="Car"/>
    <n v="23"/>
    <n v="62.35557713"/>
    <n v="105.3"/>
    <n v="66.5"/>
    <n v="183.3"/>
    <n v="3.44"/>
    <n v="18.5"/>
    <d v="2011-03-07T00:00:00"/>
  </r>
  <r>
    <x v="27"/>
    <x v="141"/>
    <n v="9835"/>
    <n v="51728"/>
    <n v="34080"/>
    <n v="0.65883080729972165"/>
    <s v="POOR"/>
    <n v="4.7"/>
    <n v="230"/>
    <s v="Medium HP"/>
    <s v="Car"/>
    <n v="15"/>
    <n v="102.5289842"/>
    <n v="112.2"/>
    <n v="76.400000000000006"/>
    <n v="192.5"/>
    <n v="5.1150000000000002"/>
    <n v="25.4"/>
    <d v="2011-09-25T00:00:00"/>
  </r>
  <r>
    <x v="28"/>
    <x v="142"/>
    <n v="9761"/>
    <n v="14900"/>
    <n v="11425"/>
    <n v="0.76677852348993292"/>
    <s v="GOOD"/>
    <n v="2"/>
    <n v="115"/>
    <s v="Medium HP"/>
    <s v="Passenger"/>
    <n v="26"/>
    <n v="46.943876760000002"/>
    <n v="98.9"/>
    <n v="68.3"/>
    <n v="163.30000000000001"/>
    <n v="2.7669999999999999"/>
    <n v="14.5"/>
    <d v="2011-01-24T00:00:00"/>
  </r>
  <r>
    <x v="28"/>
    <x v="143"/>
    <n v="83721"/>
    <n v="16700"/>
    <n v="13240"/>
    <n v="0.792814371257485"/>
    <s v="GOOD"/>
    <n v="2"/>
    <n v="115"/>
    <s v="Medium HP"/>
    <s v="Passenger"/>
    <n v="26"/>
    <n v="47.638236659999997"/>
    <n v="98.9"/>
    <n v="68.3"/>
    <n v="172.3"/>
    <n v="2.8530000000000002"/>
    <n v="14.5"/>
    <d v="2011-08-27T00:00:00"/>
  </r>
  <r>
    <x v="28"/>
    <x v="144"/>
    <n v="51102"/>
    <n v="21200"/>
    <n v="16725"/>
    <n v="0.78891509433962259"/>
    <s v="GOOD"/>
    <n v="1.8"/>
    <n v="150"/>
    <s v="Medium HP"/>
    <s v="Passenger"/>
    <n v="27"/>
    <n v="61.701381359999999"/>
    <n v="106.4"/>
    <n v="68.5"/>
    <n v="184.1"/>
    <n v="3.0430000000000001"/>
    <n v="16.399999999999999"/>
    <d v="2012-10-30T00:00:00"/>
  </r>
  <r>
    <x v="28"/>
    <x v="145"/>
    <n v="9569"/>
    <n v="19990"/>
    <n v="16575"/>
    <n v="0.82916458229114554"/>
    <s v="GOOD"/>
    <n v="2"/>
    <n v="115"/>
    <s v="Medium HP"/>
    <s v="Passenger"/>
    <n v="26"/>
    <n v="48.907372250000002"/>
    <n v="97.4"/>
    <n v="66.7"/>
    <n v="160.4"/>
    <n v="3.0790000000000002"/>
    <n v="13.7"/>
    <d v="2011-05-31T00:00:00"/>
  </r>
  <r>
    <x v="28"/>
    <x v="146"/>
    <n v="5596"/>
    <n v="17500"/>
    <n v="13760"/>
    <n v="0.78628571428571425"/>
    <s v="GOOD"/>
    <n v="2"/>
    <n v="115"/>
    <s v="Medium HP"/>
    <s v="Passenger"/>
    <n v="26"/>
    <n v="47.946841059999997"/>
    <n v="98.9"/>
    <n v="68.3"/>
    <n v="163.30000000000001"/>
    <n v="2.762"/>
    <n v="14.6"/>
    <d v="2011-04-01T00:00:00"/>
  </r>
  <r>
    <x v="28"/>
    <x v="147"/>
    <n v="49463"/>
    <n v="15900"/>
    <n v="11986"/>
    <n v="0.75383647798742137"/>
    <s v="GOOD"/>
    <n v="2"/>
    <n v="115"/>
    <s v="Medium HP"/>
    <s v="Passenger"/>
    <n v="26"/>
    <n v="47.329632259999997"/>
    <n v="98.9"/>
    <n v="67.900000000000006"/>
    <n v="161.1"/>
    <n v="2.7690000000000001"/>
    <n v="14.5"/>
    <d v="2011-10-20T00:00:00"/>
  </r>
  <r>
    <x v="29"/>
    <x v="148"/>
    <n v="16957"/>
    <n v="23400"/>
    <n v="14334"/>
    <n v="0.61256410256410254"/>
    <s v="POOR"/>
    <n v="1.9"/>
    <n v="160"/>
    <s v="Medium HP"/>
    <s v="Passenger"/>
    <n v="25"/>
    <n v="66.113056799999995"/>
    <n v="100.5"/>
    <n v="67.599999999999994"/>
    <n v="176.6"/>
    <n v="2.9980000000000002"/>
    <n v="15.8"/>
    <d v="2011-02-18T00:00:00"/>
  </r>
  <r>
    <x v="29"/>
    <x v="149"/>
    <n v="3545"/>
    <n v="24400"/>
    <n v="15252"/>
    <n v="0.62508196721311471"/>
    <s v="POOR"/>
    <n v="1.9"/>
    <n v="160"/>
    <s v="Medium HP"/>
    <s v="Passenger"/>
    <n v="25"/>
    <n v="66.498812299999997"/>
    <n v="100.5"/>
    <n v="67.599999999999994"/>
    <n v="176.6"/>
    <n v="3.0419999999999998"/>
    <n v="15.8"/>
    <d v="2011-09-21T00:00:00"/>
  </r>
  <r>
    <x v="29"/>
    <x v="150"/>
    <n v="15245"/>
    <n v="27500"/>
    <n v="18900"/>
    <n v="0.68727272727272726"/>
    <s v="POOR"/>
    <n v="2.4"/>
    <n v="168"/>
    <s v="Medium HP"/>
    <s v="Passenger"/>
    <n v="25"/>
    <n v="70.654495449999999"/>
    <n v="104.9"/>
    <n v="69.3"/>
    <n v="185.9"/>
    <n v="3.2080000000000002"/>
    <n v="17.899999999999999"/>
    <d v="2012-11-24T00:00:00"/>
  </r>
  <r>
    <x v="29"/>
    <x v="151"/>
    <n v="17531"/>
    <n v="28800"/>
    <n v="20223"/>
    <n v="0.70218749999999996"/>
    <s v="GOOD"/>
    <n v="2.4"/>
    <n v="168"/>
    <s v="Medium HP"/>
    <s v="Passenger"/>
    <n v="25"/>
    <n v="71.1559776"/>
    <n v="104.9"/>
    <n v="69.3"/>
    <n v="186.2"/>
    <n v="3.2589999999999999"/>
    <n v="17.899999999999999"/>
    <d v="2011-06-25T00:00:00"/>
  </r>
  <r>
    <x v="29"/>
    <x v="152"/>
    <n v="3493"/>
    <n v="45500"/>
    <n v="34175"/>
    <n v="0.75109890109890109"/>
    <s v="GOOD"/>
    <n v="2.2999999999999998"/>
    <n v="236"/>
    <s v="Medium HP"/>
    <s v="Passenger"/>
    <n v="23"/>
    <n v="101.6233572"/>
    <n v="104.9"/>
    <n v="71.5"/>
    <n v="185.7"/>
    <n v="3.601"/>
    <n v="18.5"/>
    <d v="2011-04-26T00:00:00"/>
  </r>
  <r>
    <x v="29"/>
    <x v="153"/>
    <n v="18969"/>
    <n v="36000"/>
    <n v="26403"/>
    <n v="0.73341666666666672"/>
    <s v="GOOD"/>
    <n v="2.9"/>
    <n v="201"/>
    <s v="Medium HP"/>
    <s v="Passenger"/>
    <n v="24"/>
    <n v="85.735654510000003"/>
    <n v="109.9"/>
    <n v="72.099999999999994"/>
    <n v="189.8"/>
    <n v="3.6"/>
    <n v="21.1"/>
    <d v="2011-11-1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C1C5B-8C6C-B246-8E48-30DE7D65BF6A}"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11" firstHeaderRow="1" firstDataRow="1" firstDataCol="1"/>
  <pivotFields count="20">
    <pivotField multipleItemSelectionAllowed="1" showAll="0">
      <items count="31">
        <item h="1" x="0"/>
        <item h="1" x="1"/>
        <item h="1" x="2"/>
        <item h="1" x="3"/>
        <item h="1" x="4"/>
        <item h="1" x="5"/>
        <item h="1" x="6"/>
        <item h="1" x="7"/>
        <item h="1" x="8"/>
        <item h="1" x="9"/>
        <item h="1" x="10"/>
        <item h="1" x="11"/>
        <item h="1" x="12"/>
        <item h="1" x="13"/>
        <item h="1" x="14"/>
        <item h="1" x="15"/>
        <item h="1" x="18"/>
        <item h="1" x="17"/>
        <item h="1" x="16"/>
        <item x="19"/>
        <item h="1" x="20"/>
        <item h="1" x="21"/>
        <item h="1" x="22"/>
        <item h="1" x="23"/>
        <item h="1" x="24"/>
        <item h="1" x="25"/>
        <item h="1" x="26"/>
        <item h="1" x="27"/>
        <item h="1" x="28"/>
        <item h="1" x="29"/>
        <item t="default"/>
      </items>
    </pivotField>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numFmtId="1" showAll="0"/>
    <pivotField numFmtId="165" showAll="0"/>
    <pivotField numFmtId="165"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s>
  <rowFields count="1">
    <field x="1"/>
  </rowFields>
  <rowItems count="8">
    <i>
      <x v="14"/>
    </i>
    <i>
      <x v="65"/>
    </i>
    <i>
      <x v="91"/>
    </i>
    <i>
      <x v="109"/>
    </i>
    <i>
      <x v="112"/>
    </i>
    <i>
      <x v="129"/>
    </i>
    <i>
      <x v="153"/>
    </i>
    <i t="grand">
      <x/>
    </i>
  </rowItems>
  <colItems count="1">
    <i/>
  </colItems>
  <dataFields count="1">
    <dataField name="Average of Retention %" fld="5" subtotal="average" baseField="0" baseItem="0" numFmtId="9"/>
  </dataFields>
  <formats count="2">
    <format dxfId="27">
      <pivotArea outline="0" collapsedLevelsAreSubtotals="1" fieldPosition="0"/>
    </format>
    <format dxfId="26">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C11" firstHeaderRow="0" firstDataRow="1" firstDataCol="1"/>
  <pivotFields count="20">
    <pivotField showAll="0">
      <items count="31">
        <item h="1" x="0"/>
        <item h="1" x="1"/>
        <item h="1" x="2"/>
        <item h="1" x="3"/>
        <item h="1" x="4"/>
        <item h="1" x="5"/>
        <item h="1" x="6"/>
        <item h="1" x="7"/>
        <item h="1" x="8"/>
        <item h="1" x="9"/>
        <item h="1" x="10"/>
        <item h="1" x="11"/>
        <item h="1" x="12"/>
        <item h="1" x="13"/>
        <item h="1" x="14"/>
        <item h="1" x="15"/>
        <item h="1" x="18"/>
        <item h="1" x="17"/>
        <item h="1" x="16"/>
        <item x="19"/>
        <item h="1" x="20"/>
        <item h="1" x="21"/>
        <item h="1" x="22"/>
        <item h="1" x="23"/>
        <item h="1" x="24"/>
        <item h="1" x="25"/>
        <item h="1" x="26"/>
        <item h="1" x="27"/>
        <item h="1" x="28"/>
        <item h="1" x="29"/>
        <item t="default"/>
      </items>
    </pivotField>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numFmtId="1" showAll="0"/>
    <pivotField dataField="1" numFmtId="165" showAll="0"/>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s>
  <rowFields count="1">
    <field x="1"/>
  </rowFields>
  <rowItems count="8">
    <i>
      <x v="14"/>
    </i>
    <i>
      <x v="65"/>
    </i>
    <i>
      <x v="91"/>
    </i>
    <i>
      <x v="109"/>
    </i>
    <i>
      <x v="112"/>
    </i>
    <i>
      <x v="129"/>
    </i>
    <i>
      <x v="153"/>
    </i>
    <i t="grand">
      <x/>
    </i>
  </rowItems>
  <colFields count="1">
    <field x="-2"/>
  </colFields>
  <colItems count="2">
    <i>
      <x/>
    </i>
    <i i="1">
      <x v="1"/>
    </i>
  </colItems>
  <dataFields count="2">
    <dataField name="Average of Year Resale Value" fld="4" subtotal="average" baseField="0" baseItem="0" numFmtId="167"/>
    <dataField name="Average of Price" fld="3" subtotal="average" baseField="0" baseItem="78" numFmtId="167"/>
  </dataFields>
  <formats count="4">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1">
            <x v="0"/>
          </reference>
        </references>
      </pivotArea>
    </format>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FB968-5753-439E-9950-441DF647B7C6}"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1:B9" firstHeaderRow="1" firstDataRow="1" firstDataCol="1"/>
  <pivotFields count="20">
    <pivotField showAll="0">
      <items count="31">
        <item h="1" x="0"/>
        <item h="1" x="1"/>
        <item h="1" x="2"/>
        <item h="1" x="3"/>
        <item h="1" x="4"/>
        <item h="1" x="5"/>
        <item h="1" x="6"/>
        <item h="1" x="7"/>
        <item h="1" x="8"/>
        <item h="1" x="9"/>
        <item h="1" x="10"/>
        <item h="1" x="11"/>
        <item h="1" x="12"/>
        <item h="1" x="13"/>
        <item h="1" x="14"/>
        <item h="1" x="15"/>
        <item h="1" x="18"/>
        <item h="1" x="17"/>
        <item h="1" x="16"/>
        <item x="19"/>
        <item h="1" x="20"/>
        <item h="1" x="21"/>
        <item h="1" x="22"/>
        <item h="1" x="23"/>
        <item h="1" x="24"/>
        <item h="1" x="25"/>
        <item h="1" x="26"/>
        <item h="1" x="27"/>
        <item h="1" x="28"/>
        <item h="1" x="29"/>
        <item t="default"/>
      </items>
    </pivotField>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numFmtId="1" showAll="0"/>
    <pivotField numFmtId="165" showAll="0"/>
    <pivotField numFmtId="165" showAll="0"/>
    <pivotField numFmtId="9"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s>
  <rowFields count="1">
    <field x="1"/>
  </rowFields>
  <rowItems count="8">
    <i>
      <x v="14"/>
    </i>
    <i>
      <x v="65"/>
    </i>
    <i>
      <x v="91"/>
    </i>
    <i>
      <x v="109"/>
    </i>
    <i>
      <x v="112"/>
    </i>
    <i>
      <x v="129"/>
    </i>
    <i>
      <x v="153"/>
    </i>
    <i t="grand">
      <x/>
    </i>
  </rowItems>
  <colItems count="1">
    <i/>
  </colItems>
  <dataFields count="1">
    <dataField name="Sum of Engine Size" fld="7" baseField="0" baseItem="0"/>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CB4256-FE8A-49AF-98F8-A67D46F59AFC}"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5">
  <location ref="A3:B11" firstHeaderRow="1" firstDataRow="1" firstDataCol="1"/>
  <pivotFields count="20">
    <pivotField showAll="0">
      <items count="31">
        <item h="1" sd="0" x="0"/>
        <item h="1" sd="0" x="1"/>
        <item h="1" sd="0" x="2"/>
        <item h="1" sd="0" x="3"/>
        <item h="1" sd="0" x="4"/>
        <item h="1" sd="0" x="5"/>
        <item h="1" sd="0" x="6"/>
        <item h="1" sd="0" x="7"/>
        <item h="1" sd="0" x="8"/>
        <item h="1" sd="0" x="9"/>
        <item h="1" sd="0" x="10"/>
        <item h="1" sd="0" x="11"/>
        <item h="1" sd="0" x="12"/>
        <item h="1" sd="0" x="13"/>
        <item h="1" sd="0" x="14"/>
        <item h="1" sd="0" x="15"/>
        <item h="1" sd="0" x="18"/>
        <item h="1" sd="0" x="17"/>
        <item h="1" sd="0" x="16"/>
        <item sd="0" x="19"/>
        <item h="1" sd="0" x="20"/>
        <item h="1" sd="0" x="21"/>
        <item h="1" sd="0" x="22"/>
        <item h="1" sd="0" x="23"/>
        <item h="1" sd="0" x="24"/>
        <item h="1" sd="0" x="25"/>
        <item h="1" sd="0" x="26"/>
        <item h="1" sd="0" x="27"/>
        <item h="1" sd="0" x="28"/>
        <item h="1" sd="0" x="29"/>
        <item t="default" sd="0"/>
      </items>
    </pivotField>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dataField="1" numFmtId="1" showAll="0"/>
    <pivotField numFmtId="165" showAll="0"/>
    <pivotField numFmtId="165"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s>
  <rowFields count="1">
    <field x="1"/>
  </rowFields>
  <rowItems count="8">
    <i>
      <x v="14"/>
    </i>
    <i>
      <x v="65"/>
    </i>
    <i>
      <x v="91"/>
    </i>
    <i>
      <x v="109"/>
    </i>
    <i>
      <x v="112"/>
    </i>
    <i>
      <x v="129"/>
    </i>
    <i>
      <x v="153"/>
    </i>
    <i t="grand">
      <x/>
    </i>
  </rowItems>
  <colItems count="1">
    <i/>
  </colItems>
  <dataFields count="1">
    <dataField name="Sum of Unit Sales" fld="2" baseField="1" baseItem="4" numFmtId="1"/>
  </dataFields>
  <chartFormats count="21">
    <chartFormat chart="1"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1" count="1" selected="0">
            <x v="4"/>
          </reference>
        </references>
      </pivotArea>
    </chartFormat>
    <chartFormat chart="22" format="13">
      <pivotArea type="data" outline="0" fieldPosition="0">
        <references count="2">
          <reference field="4294967294" count="1" selected="0">
            <x v="0"/>
          </reference>
          <reference field="1" count="1" selected="0">
            <x v="16"/>
          </reference>
        </references>
      </pivotArea>
    </chartFormat>
    <chartFormat chart="22" format="14">
      <pivotArea type="data" outline="0" fieldPosition="0">
        <references count="2">
          <reference field="4294967294" count="1" selected="0">
            <x v="0"/>
          </reference>
          <reference field="1" count="1" selected="0">
            <x v="26"/>
          </reference>
        </references>
      </pivotArea>
    </chartFormat>
    <chartFormat chart="22" format="15">
      <pivotArea type="data" outline="0" fieldPosition="0">
        <references count="2">
          <reference field="4294967294" count="1" selected="0">
            <x v="0"/>
          </reference>
          <reference field="1" count="1" selected="0">
            <x v="33"/>
          </reference>
        </references>
      </pivotArea>
    </chartFormat>
    <chartFormat chart="22" format="16">
      <pivotArea type="data" outline="0" fieldPosition="0">
        <references count="2">
          <reference field="4294967294" count="1" selected="0">
            <x v="0"/>
          </reference>
          <reference field="1" count="1" selected="0">
            <x v="43"/>
          </reference>
        </references>
      </pivotArea>
    </chartFormat>
    <chartFormat chart="22" format="17">
      <pivotArea type="data" outline="0" fieldPosition="0">
        <references count="2">
          <reference field="4294967294" count="1" selected="0">
            <x v="0"/>
          </reference>
          <reference field="1" count="1" selected="0">
            <x v="82"/>
          </reference>
        </references>
      </pivotArea>
    </chartFormat>
    <chartFormat chart="22" format="18">
      <pivotArea type="data" outline="0" fieldPosition="0">
        <references count="2">
          <reference field="4294967294" count="1" selected="0">
            <x v="0"/>
          </reference>
          <reference field="1" count="1" selected="0">
            <x v="117"/>
          </reference>
        </references>
      </pivotArea>
    </chartFormat>
    <chartFormat chart="22" format="19">
      <pivotArea type="data" outline="0" fieldPosition="0">
        <references count="2">
          <reference field="4294967294" count="1" selected="0">
            <x v="0"/>
          </reference>
          <reference field="1" count="1" selected="0">
            <x v="131"/>
          </reference>
        </references>
      </pivotArea>
    </chartFormat>
    <chartFormat chart="22" format="20">
      <pivotArea type="data" outline="0" fieldPosition="0">
        <references count="2">
          <reference field="4294967294" count="1" selected="0">
            <x v="0"/>
          </reference>
          <reference field="1" count="1" selected="0">
            <x v="142"/>
          </reference>
        </references>
      </pivotArea>
    </chartFormat>
    <chartFormat chart="18" format="1">
      <pivotArea type="data" outline="0" fieldPosition="0">
        <references count="2">
          <reference field="4294967294" count="1" selected="0">
            <x v="0"/>
          </reference>
          <reference field="1" count="1" selected="0">
            <x v="4"/>
          </reference>
        </references>
      </pivotArea>
    </chartFormat>
    <chartFormat chart="18" format="2">
      <pivotArea type="data" outline="0" fieldPosition="0">
        <references count="2">
          <reference field="4294967294" count="1" selected="0">
            <x v="0"/>
          </reference>
          <reference field="1" count="1" selected="0">
            <x v="16"/>
          </reference>
        </references>
      </pivotArea>
    </chartFormat>
    <chartFormat chart="18" format="3">
      <pivotArea type="data" outline="0" fieldPosition="0">
        <references count="2">
          <reference field="4294967294" count="1" selected="0">
            <x v="0"/>
          </reference>
          <reference field="1" count="1" selected="0">
            <x v="26"/>
          </reference>
        </references>
      </pivotArea>
    </chartFormat>
    <chartFormat chart="18" format="4">
      <pivotArea type="data" outline="0" fieldPosition="0">
        <references count="2">
          <reference field="4294967294" count="1" selected="0">
            <x v="0"/>
          </reference>
          <reference field="1" count="1" selected="0">
            <x v="33"/>
          </reference>
        </references>
      </pivotArea>
    </chartFormat>
    <chartFormat chart="18" format="5">
      <pivotArea type="data" outline="0" fieldPosition="0">
        <references count="2">
          <reference field="4294967294" count="1" selected="0">
            <x v="0"/>
          </reference>
          <reference field="1" count="1" selected="0">
            <x v="43"/>
          </reference>
        </references>
      </pivotArea>
    </chartFormat>
    <chartFormat chart="18" format="6">
      <pivotArea type="data" outline="0" fieldPosition="0">
        <references count="2">
          <reference field="4294967294" count="1" selected="0">
            <x v="0"/>
          </reference>
          <reference field="1" count="1" selected="0">
            <x v="82"/>
          </reference>
        </references>
      </pivotArea>
    </chartFormat>
    <chartFormat chart="18" format="7">
      <pivotArea type="data" outline="0" fieldPosition="0">
        <references count="2">
          <reference field="4294967294" count="1" selected="0">
            <x v="0"/>
          </reference>
          <reference field="1" count="1" selected="0">
            <x v="117"/>
          </reference>
        </references>
      </pivotArea>
    </chartFormat>
    <chartFormat chart="18" format="8">
      <pivotArea type="data" outline="0" fieldPosition="0">
        <references count="2">
          <reference field="4294967294" count="1" selected="0">
            <x v="0"/>
          </reference>
          <reference field="1" count="1" selected="0">
            <x v="131"/>
          </reference>
        </references>
      </pivotArea>
    </chartFormat>
    <chartFormat chart="18" format="9">
      <pivotArea type="data" outline="0" fieldPosition="0">
        <references count="2">
          <reference field="4294967294" count="1" selected="0">
            <x v="0"/>
          </reference>
          <reference field="1" count="1" selected="0">
            <x v="1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B5263607-15DE-404D-8D8E-859BC23A101E}" sourceName="Manufacturer">
  <pivotTables>
    <pivotTable tabId="5" name="PivotTable4"/>
    <pivotTable tabId="2" name="PivotTable4"/>
    <pivotTable tabId="7" name="PivotTable1"/>
    <pivotTable tabId="8" name="PivotTable3"/>
  </pivotTables>
  <data>
    <tabular pivotCacheId="654049132">
      <items count="30">
        <i x="0"/>
        <i x="1"/>
        <i x="2"/>
        <i x="3"/>
        <i x="4"/>
        <i x="5"/>
        <i x="6"/>
        <i x="7"/>
        <i x="8"/>
        <i x="9"/>
        <i x="10"/>
        <i x="11"/>
        <i x="12"/>
        <i x="13"/>
        <i x="14"/>
        <i x="15"/>
        <i x="18"/>
        <i x="17"/>
        <i x="16"/>
        <i x="19" s="1"/>
        <i x="20"/>
        <i x="21"/>
        <i x="22"/>
        <i x="23"/>
        <i x="24"/>
        <i x="25"/>
        <i x="26"/>
        <i x="27"/>
        <i x="28"/>
        <i x="2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2FD47D63-134C-4504-921E-8E4944C4D95B}" cache="Slicer_Manufacturer" caption="Manufacturer" startItem="2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EFD8E79A-FA43-4A81-BD7D-6A3D2BADE3D0}" cache="Slicer_Manufacturer" caption="Manufacturer" startItem="1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21" headerRowCellStyle="60% - Accent1">
  <autoFilter ref="A1:S156" xr:uid="{142A1155-8F99-4580-8274-3FFCD265F860}"/>
  <tableColumns count="19">
    <tableColumn id="2" xr3:uid="{0090DD31-AAEF-418B-A6D5-5A47F973884A}" name="Manufacturer" dataDxfId="20" dataCellStyle="60% - Accent2"/>
    <tableColumn id="1" xr3:uid="{1D457C4B-D2B8-4760-9FBD-20980339C812}" name="Model" dataDxfId="19" dataCellStyle="60% - Accent6"/>
    <tableColumn id="4" xr3:uid="{8522711B-6353-4D72-9921-4036DEB24699}" name="Unit Sales" dataDxfId="18"/>
    <tableColumn id="5" xr3:uid="{3F2EFF05-CEC1-43C4-8457-EC0A04BFE37D}" name="Price" dataDxfId="17"/>
    <tableColumn id="6" xr3:uid="{D0C7E9A3-6A78-4834-995F-71A07F7E5FEC}" name="Year Resale Value" dataDxfId="16"/>
    <tableColumn id="7" xr3:uid="{2892AE5C-2583-41F9-9297-9EA4C2895B5F}" name="Retention %" dataDxfId="15" dataCellStyle="Percent">
      <calculatedColumnFormula>SUM(E2/D2)</calculatedColumnFormula>
    </tableColumn>
    <tableColumn id="8" xr3:uid="{40A7E790-705B-474C-BD5E-B93CFDEAAD37}" name="Retention Value" dataDxfId="14" dataCellStyle="Percent">
      <calculatedColumnFormula>IF(F2&gt;69%, "GOOD", "POOR")</calculatedColumnFormula>
    </tableColumn>
    <tableColumn id="9" xr3:uid="{9FD1D782-0EB9-4AC8-9FB6-1F5437BC6100}" name="Engine Size" dataDxfId="13"/>
    <tableColumn id="10" xr3:uid="{97F7DE8D-9589-426B-AA4F-2E3F8BB7A81B}" name="Horsepower" dataDxfId="12"/>
    <tableColumn id="11" xr3:uid="{4CB9C68E-A6F1-497A-9877-E41495059145}" name="HP Level" dataDxfId="11">
      <calculatedColumnFormula array="1">_xlfn.IFS(I2&gt;299,"High HP",I2&gt;99,"Medium HP",I2&lt;100,"Low HP")</calculatedColumnFormula>
    </tableColumn>
    <tableColumn id="3" xr3:uid="{3733B2DD-D65D-439A-9EC2-28F65DC369D7}" name="Vehicle_type" dataDxfId="10"/>
    <tableColumn id="17" xr3:uid="{5136D0F0-2F8F-4D70-995F-CE39B1996127}" name="Fuel Efficiency" dataDxfId="9"/>
    <tableColumn id="19" xr3:uid="{5F133F36-F1C6-453A-A10C-A9917A623804}" name="Power Perf Factor" dataDxfId="8"/>
    <tableColumn id="12" xr3:uid="{6E551230-1170-40DA-8649-BDDA922271D8}" name="Wheelbase" dataDxfId="7"/>
    <tableColumn id="13" xr3:uid="{53A36FF3-E823-43B4-958B-9E02EC2B56F7}" name="Width" dataDxfId="6"/>
    <tableColumn id="14" xr3:uid="{0728B768-EB40-4E54-9F8B-8FC310D3272C}" name="Length" dataDxfId="5"/>
    <tableColumn id="15" xr3:uid="{2264EB11-0818-4B2A-A027-42B066FA9869}" name="Curb Weight" dataDxfId="4"/>
    <tableColumn id="16" xr3:uid="{58B24934-BE7E-4FBD-9F96-CEF0725C6117}" name="Fuel Capacity" dataDxfId="3"/>
    <tableColumn id="18" xr3:uid="{00FF364F-DDBE-4E2C-8F3E-DBDA321FA22A}" name="Latest Launch" dataDxfId="2"/>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D20E-85BF-DD42-9BB1-E7FFA14C0980}">
  <dimension ref="A1:B43"/>
  <sheetViews>
    <sheetView workbookViewId="0">
      <selection activeCell="A3" sqref="A3"/>
    </sheetView>
  </sheetViews>
  <sheetFormatPr defaultColWidth="8.85546875" defaultRowHeight="15" x14ac:dyDescent="0.25"/>
  <cols>
    <col min="1" max="1" width="13.140625" bestFit="1" customWidth="1"/>
    <col min="2" max="2" width="22.28515625" style="17" bestFit="1" customWidth="1"/>
    <col min="3" max="3" width="26.140625" bestFit="1" customWidth="1"/>
    <col min="4" max="4" width="20.2851562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1" spans="1:2" x14ac:dyDescent="0.25">
      <c r="B1"/>
    </row>
    <row r="3" spans="1:2" x14ac:dyDescent="0.25">
      <c r="A3" s="15" t="s">
        <v>0</v>
      </c>
      <c r="B3" s="17" t="s">
        <v>1</v>
      </c>
    </row>
    <row r="4" spans="1:2" x14ac:dyDescent="0.25">
      <c r="A4" s="16" t="s">
        <v>155</v>
      </c>
      <c r="B4" s="17">
        <v>0.55394801373222169</v>
      </c>
    </row>
    <row r="5" spans="1:2" x14ac:dyDescent="0.25">
      <c r="A5" s="16" t="s">
        <v>160</v>
      </c>
      <c r="B5" s="17">
        <v>0.59642258244829516</v>
      </c>
    </row>
    <row r="6" spans="1:2" x14ac:dyDescent="0.25">
      <c r="A6" s="16" t="s">
        <v>156</v>
      </c>
      <c r="B6" s="17">
        <v>0.57621242714008147</v>
      </c>
    </row>
    <row r="7" spans="1:2" x14ac:dyDescent="0.25">
      <c r="A7" s="16" t="s">
        <v>158</v>
      </c>
      <c r="B7" s="17">
        <v>0.60787057578756953</v>
      </c>
    </row>
    <row r="8" spans="1:2" x14ac:dyDescent="0.25">
      <c r="A8" s="16" t="s">
        <v>157</v>
      </c>
      <c r="B8" s="17">
        <v>0.58259782567521501</v>
      </c>
    </row>
    <row r="9" spans="1:2" x14ac:dyDescent="0.25">
      <c r="A9" s="16" t="s">
        <v>154</v>
      </c>
      <c r="B9" s="17">
        <v>0.62597229424401812</v>
      </c>
    </row>
    <row r="10" spans="1:2" x14ac:dyDescent="0.25">
      <c r="A10" s="16" t="s">
        <v>159</v>
      </c>
      <c r="B10" s="17">
        <v>0.57427957366551163</v>
      </c>
    </row>
    <row r="11" spans="1:2" x14ac:dyDescent="0.25">
      <c r="A11" s="16" t="s">
        <v>11</v>
      </c>
      <c r="B11" s="17">
        <v>0.58818618467041606</v>
      </c>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F189"/>
  <sheetViews>
    <sheetView workbookViewId="0">
      <selection activeCell="A3" sqref="A3"/>
    </sheetView>
  </sheetViews>
  <sheetFormatPr defaultColWidth="8.85546875" defaultRowHeight="15" x14ac:dyDescent="0.25"/>
  <cols>
    <col min="1" max="1" width="13.140625" bestFit="1" customWidth="1"/>
    <col min="2" max="2" width="27.42578125" style="18" bestFit="1" customWidth="1"/>
    <col min="3" max="3" width="15.570312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6" x14ac:dyDescent="0.25">
      <c r="A3" s="15" t="s">
        <v>0</v>
      </c>
      <c r="B3" s="18" t="s">
        <v>12</v>
      </c>
      <c r="C3" s="18" t="s">
        <v>13</v>
      </c>
    </row>
    <row r="4" spans="1:6" x14ac:dyDescent="0.25">
      <c r="A4" s="16" t="s">
        <v>155</v>
      </c>
      <c r="B4" s="18">
        <v>11295</v>
      </c>
      <c r="C4" s="18">
        <v>20390</v>
      </c>
    </row>
    <row r="5" spans="1:6" x14ac:dyDescent="0.25">
      <c r="A5" s="16" t="s">
        <v>160</v>
      </c>
      <c r="B5" s="18">
        <v>10670</v>
      </c>
      <c r="C5" s="18">
        <v>17890</v>
      </c>
    </row>
    <row r="6" spans="1:6" x14ac:dyDescent="0.25">
      <c r="A6" s="16" t="s">
        <v>156</v>
      </c>
      <c r="B6" s="18">
        <v>15125</v>
      </c>
      <c r="C6" s="18">
        <v>26249</v>
      </c>
    </row>
    <row r="7" spans="1:6" x14ac:dyDescent="0.25">
      <c r="A7" s="16" t="s">
        <v>158</v>
      </c>
      <c r="B7" s="18">
        <v>17810</v>
      </c>
      <c r="C7" s="18">
        <v>29299</v>
      </c>
      <c r="F7" s="19"/>
    </row>
    <row r="8" spans="1:6" x14ac:dyDescent="0.25">
      <c r="A8" s="16" t="s">
        <v>157</v>
      </c>
      <c r="B8" s="18">
        <v>15380</v>
      </c>
      <c r="C8" s="18">
        <v>26399</v>
      </c>
    </row>
    <row r="9" spans="1:6" x14ac:dyDescent="0.25">
      <c r="A9" s="16" t="s">
        <v>154</v>
      </c>
      <c r="B9" s="18">
        <v>8450</v>
      </c>
      <c r="C9" s="18">
        <v>13499</v>
      </c>
    </row>
    <row r="10" spans="1:6" x14ac:dyDescent="0.25">
      <c r="A10" s="16" t="s">
        <v>159</v>
      </c>
      <c r="B10" s="18">
        <v>13093</v>
      </c>
      <c r="C10" s="18">
        <v>22799</v>
      </c>
    </row>
    <row r="11" spans="1:6" x14ac:dyDescent="0.25">
      <c r="A11" s="16" t="s">
        <v>11</v>
      </c>
      <c r="B11" s="18">
        <v>13117.571428571429</v>
      </c>
      <c r="C11" s="18">
        <v>22360.714285714286</v>
      </c>
    </row>
    <row r="12" spans="1:6" x14ac:dyDescent="0.25">
      <c r="B12"/>
      <c r="C12"/>
    </row>
    <row r="13" spans="1:6" x14ac:dyDescent="0.25">
      <c r="B13"/>
      <c r="C13"/>
    </row>
    <row r="14" spans="1:6" x14ac:dyDescent="0.25">
      <c r="B14"/>
      <c r="C14"/>
    </row>
    <row r="15" spans="1:6" x14ac:dyDescent="0.25">
      <c r="B15"/>
      <c r="C15"/>
    </row>
    <row r="16" spans="1:6"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sheetData>
  <pageMargins left="0.7" right="0.7" top="0.75" bottom="0.75" header="0.3" footer="0.3"/>
  <pageSetup orientation="portrait" horizontalDpi="4294967293" verticalDpi="429496729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208B-E98F-4C3E-8B5C-1E08694A5FB3}">
  <dimension ref="A1:B9"/>
  <sheetViews>
    <sheetView topLeftCell="A16" workbookViewId="0">
      <selection activeCell="K4" sqref="K4"/>
    </sheetView>
  </sheetViews>
  <sheetFormatPr defaultRowHeight="15" x14ac:dyDescent="0.25"/>
  <cols>
    <col min="1" max="1" width="13.140625" bestFit="1" customWidth="1"/>
    <col min="2" max="2" width="17.85546875" bestFit="1" customWidth="1"/>
    <col min="3" max="4" width="19.5703125" bestFit="1" customWidth="1"/>
  </cols>
  <sheetData>
    <row r="1" spans="1:2" x14ac:dyDescent="0.25">
      <c r="A1" s="15" t="s">
        <v>0</v>
      </c>
      <c r="B1" t="s">
        <v>210</v>
      </c>
    </row>
    <row r="2" spans="1:2" x14ac:dyDescent="0.25">
      <c r="A2" s="16" t="s">
        <v>155</v>
      </c>
      <c r="B2" s="21">
        <v>2.4</v>
      </c>
    </row>
    <row r="3" spans="1:2" x14ac:dyDescent="0.25">
      <c r="A3" s="16" t="s">
        <v>160</v>
      </c>
      <c r="B3" s="21">
        <v>3.3</v>
      </c>
    </row>
    <row r="4" spans="1:2" x14ac:dyDescent="0.25">
      <c r="A4" s="16" t="s">
        <v>156</v>
      </c>
      <c r="B4" s="21">
        <v>3</v>
      </c>
    </row>
    <row r="5" spans="1:2" x14ac:dyDescent="0.25">
      <c r="A5" s="16" t="s">
        <v>158</v>
      </c>
      <c r="B5" s="21">
        <v>3.3</v>
      </c>
    </row>
    <row r="6" spans="1:2" x14ac:dyDescent="0.25">
      <c r="A6" s="16" t="s">
        <v>157</v>
      </c>
      <c r="B6" s="21">
        <v>3.3</v>
      </c>
    </row>
    <row r="7" spans="1:2" x14ac:dyDescent="0.25">
      <c r="A7" s="16" t="s">
        <v>154</v>
      </c>
      <c r="B7" s="21">
        <v>1.8</v>
      </c>
    </row>
    <row r="8" spans="1:2" x14ac:dyDescent="0.25">
      <c r="A8" s="16" t="s">
        <v>159</v>
      </c>
      <c r="B8" s="21">
        <v>3.3</v>
      </c>
    </row>
    <row r="9" spans="1:2" x14ac:dyDescent="0.25">
      <c r="A9" s="16" t="s">
        <v>11</v>
      </c>
      <c r="B9" s="21">
        <v>20.400000000000002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2" zoomScaleNormal="100" workbookViewId="0">
      <selection activeCell="R2" sqref="A2:R156"/>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5" bestFit="1"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14</v>
      </c>
      <c r="B1" s="2" t="s">
        <v>15</v>
      </c>
      <c r="C1" s="2" t="s">
        <v>16</v>
      </c>
      <c r="D1" s="8" t="s">
        <v>17</v>
      </c>
      <c r="E1" s="2" t="s">
        <v>18</v>
      </c>
      <c r="F1" s="2" t="s">
        <v>19</v>
      </c>
      <c r="G1" s="2" t="s">
        <v>20</v>
      </c>
      <c r="H1" s="2" t="s">
        <v>21</v>
      </c>
      <c r="I1" s="2" t="s">
        <v>22</v>
      </c>
      <c r="J1" s="2" t="s">
        <v>23</v>
      </c>
      <c r="K1" s="2" t="s">
        <v>24</v>
      </c>
      <c r="L1" s="2" t="s">
        <v>25</v>
      </c>
      <c r="M1" s="2" t="s">
        <v>26</v>
      </c>
      <c r="N1" s="2" t="s">
        <v>28</v>
      </c>
      <c r="O1" s="2" t="s">
        <v>29</v>
      </c>
      <c r="P1" s="2" t="s">
        <v>30</v>
      </c>
      <c r="Q1" s="2" t="s">
        <v>31</v>
      </c>
      <c r="R1" s="2" t="s">
        <v>27</v>
      </c>
      <c r="S1" s="2" t="s">
        <v>32</v>
      </c>
    </row>
    <row r="2" spans="1:23" x14ac:dyDescent="0.25">
      <c r="A2" s="3" t="s">
        <v>33</v>
      </c>
      <c r="B2" s="4" t="s">
        <v>34</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35</v>
      </c>
      <c r="L2" s="5">
        <v>28</v>
      </c>
      <c r="M2" s="5">
        <v>58.280149520000002</v>
      </c>
      <c r="N2" s="5">
        <v>101.2</v>
      </c>
      <c r="O2" s="5">
        <v>67.3</v>
      </c>
      <c r="P2" s="5">
        <v>172.4</v>
      </c>
      <c r="Q2" s="5">
        <v>2.6389999999999998</v>
      </c>
      <c r="R2" s="5">
        <v>13.2</v>
      </c>
      <c r="S2" s="6">
        <v>40941</v>
      </c>
    </row>
    <row r="3" spans="1:23" x14ac:dyDescent="0.25">
      <c r="A3" s="3" t="s">
        <v>33</v>
      </c>
      <c r="B3" s="4" t="s">
        <v>36</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35</v>
      </c>
      <c r="L3" s="5">
        <v>25</v>
      </c>
      <c r="M3" s="5">
        <v>91.370777660000002</v>
      </c>
      <c r="N3" s="5">
        <v>108.1</v>
      </c>
      <c r="O3" s="5">
        <v>70.3</v>
      </c>
      <c r="P3" s="5">
        <v>192.9</v>
      </c>
      <c r="Q3" s="5">
        <v>3.5169999999999999</v>
      </c>
      <c r="R3" s="5">
        <v>17.2</v>
      </c>
      <c r="S3" s="6">
        <v>40697</v>
      </c>
    </row>
    <row r="4" spans="1:23" x14ac:dyDescent="0.25">
      <c r="A4" s="3" t="s">
        <v>33</v>
      </c>
      <c r="B4" s="4" t="s">
        <v>37</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35</v>
      </c>
      <c r="L4" s="5">
        <v>22</v>
      </c>
      <c r="M4" s="5">
        <v>91.389779329999996</v>
      </c>
      <c r="N4" s="5">
        <v>114.6</v>
      </c>
      <c r="O4" s="5">
        <v>71.400000000000006</v>
      </c>
      <c r="P4" s="5">
        <v>196.6</v>
      </c>
      <c r="Q4" s="5">
        <v>3.85</v>
      </c>
      <c r="R4" s="5">
        <v>18</v>
      </c>
      <c r="S4" s="6">
        <v>40612</v>
      </c>
    </row>
    <row r="5" spans="1:23" x14ac:dyDescent="0.25">
      <c r="A5" s="3" t="s">
        <v>38</v>
      </c>
      <c r="B5" s="4" t="s">
        <v>39</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35</v>
      </c>
      <c r="L5" s="5">
        <v>27</v>
      </c>
      <c r="M5" s="5">
        <v>62.777639200000003</v>
      </c>
      <c r="N5" s="5">
        <v>102.6</v>
      </c>
      <c r="O5" s="5">
        <v>68.2</v>
      </c>
      <c r="P5" s="5">
        <v>178</v>
      </c>
      <c r="Q5" s="5">
        <v>2.9980000000000002</v>
      </c>
      <c r="R5" s="5">
        <v>16.399999999999999</v>
      </c>
      <c r="S5" s="6">
        <v>40824</v>
      </c>
      <c r="U5" s="1"/>
      <c r="W5" s="13"/>
    </row>
    <row r="6" spans="1:23" x14ac:dyDescent="0.25">
      <c r="A6" s="3" t="s">
        <v>38</v>
      </c>
      <c r="B6" s="4" t="s">
        <v>40</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35</v>
      </c>
      <c r="L6" s="5">
        <v>22</v>
      </c>
      <c r="M6" s="5">
        <v>84.565105020000004</v>
      </c>
      <c r="N6" s="5">
        <v>108.7</v>
      </c>
      <c r="O6" s="5">
        <v>76.099999999999994</v>
      </c>
      <c r="P6" s="5">
        <v>192</v>
      </c>
      <c r="Q6" s="5">
        <v>3.5609999999999999</v>
      </c>
      <c r="R6" s="5">
        <v>18.5</v>
      </c>
      <c r="S6" s="6">
        <v>40764</v>
      </c>
      <c r="W6" s="13"/>
    </row>
    <row r="7" spans="1:23" x14ac:dyDescent="0.25">
      <c r="A7" s="3" t="s">
        <v>38</v>
      </c>
      <c r="B7" s="4" t="s">
        <v>41</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35</v>
      </c>
      <c r="L7" s="5">
        <v>21</v>
      </c>
      <c r="M7" s="5">
        <v>134.65685819999999</v>
      </c>
      <c r="N7" s="5">
        <v>113</v>
      </c>
      <c r="O7" s="5">
        <v>74</v>
      </c>
      <c r="P7" s="5">
        <v>198.2</v>
      </c>
      <c r="Q7" s="5">
        <v>3.9020000000000001</v>
      </c>
      <c r="R7" s="5">
        <v>23.7</v>
      </c>
      <c r="S7" s="6">
        <v>40966</v>
      </c>
      <c r="W7" s="13"/>
    </row>
    <row r="8" spans="1:23" x14ac:dyDescent="0.25">
      <c r="A8" s="3" t="s">
        <v>42</v>
      </c>
      <c r="B8" s="4" t="s">
        <v>43</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35</v>
      </c>
      <c r="L8" s="5">
        <v>26</v>
      </c>
      <c r="M8" s="5">
        <v>71.191206710000003</v>
      </c>
      <c r="N8" s="5">
        <v>107.3</v>
      </c>
      <c r="O8" s="5">
        <v>68.400000000000006</v>
      </c>
      <c r="P8" s="5">
        <v>176</v>
      </c>
      <c r="Q8" s="5">
        <v>3.1789999999999998</v>
      </c>
      <c r="R8" s="5">
        <v>16.600000000000001</v>
      </c>
      <c r="S8" s="6">
        <v>40722</v>
      </c>
      <c r="W8" s="13"/>
    </row>
    <row r="9" spans="1:23" x14ac:dyDescent="0.25">
      <c r="A9" s="3" t="s">
        <v>42</v>
      </c>
      <c r="B9" s="4" t="s">
        <v>44</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35</v>
      </c>
      <c r="L9" s="5">
        <v>24</v>
      </c>
      <c r="M9" s="5">
        <v>81.877068559999998</v>
      </c>
      <c r="N9" s="5">
        <v>107.3</v>
      </c>
      <c r="O9" s="5">
        <v>68.5</v>
      </c>
      <c r="P9" s="5">
        <v>176</v>
      </c>
      <c r="Q9" s="5">
        <v>3.1970000000000001</v>
      </c>
      <c r="R9" s="5">
        <v>16.600000000000001</v>
      </c>
      <c r="S9" s="6">
        <v>40937</v>
      </c>
      <c r="W9" s="13"/>
    </row>
    <row r="10" spans="1:23" x14ac:dyDescent="0.25">
      <c r="A10" s="3" t="s">
        <v>42</v>
      </c>
      <c r="B10" s="4" t="s">
        <v>45</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35</v>
      </c>
      <c r="L10" s="5">
        <v>25</v>
      </c>
      <c r="M10" s="5">
        <v>83.998723799999993</v>
      </c>
      <c r="N10" s="5">
        <v>111.4</v>
      </c>
      <c r="O10" s="5">
        <v>70.900000000000006</v>
      </c>
      <c r="P10" s="5">
        <v>188</v>
      </c>
      <c r="Q10" s="5">
        <v>3.472</v>
      </c>
      <c r="R10" s="5">
        <v>18.5</v>
      </c>
      <c r="S10" s="6">
        <v>40637</v>
      </c>
      <c r="W10" s="13"/>
    </row>
    <row r="11" spans="1:23" x14ac:dyDescent="0.25">
      <c r="A11" s="3" t="s">
        <v>46</v>
      </c>
      <c r="B11" s="4" t="s">
        <v>47</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35</v>
      </c>
      <c r="L11" s="5">
        <v>25</v>
      </c>
      <c r="M11" s="5">
        <v>71.181451319999994</v>
      </c>
      <c r="N11" s="5">
        <v>109</v>
      </c>
      <c r="O11" s="5">
        <v>72.7</v>
      </c>
      <c r="P11" s="5">
        <v>194.6</v>
      </c>
      <c r="Q11" s="5">
        <v>3.3679999999999999</v>
      </c>
      <c r="R11" s="5">
        <v>17.5</v>
      </c>
      <c r="S11" s="6">
        <v>40849</v>
      </c>
      <c r="W11" s="13"/>
    </row>
    <row r="12" spans="1:23" x14ac:dyDescent="0.25">
      <c r="A12" s="3" t="s">
        <v>46</v>
      </c>
      <c r="B12" s="4" t="s">
        <v>48</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35</v>
      </c>
      <c r="L12" s="5">
        <v>23</v>
      </c>
      <c r="M12" s="5">
        <v>95.636702529999994</v>
      </c>
      <c r="N12" s="5">
        <v>109</v>
      </c>
      <c r="O12" s="5">
        <v>72.7</v>
      </c>
      <c r="P12" s="5">
        <v>196.2</v>
      </c>
      <c r="Q12" s="5">
        <v>3.5430000000000001</v>
      </c>
      <c r="R12" s="5">
        <v>17.5</v>
      </c>
      <c r="S12" s="6">
        <v>40789</v>
      </c>
      <c r="W12" s="13"/>
    </row>
    <row r="13" spans="1:23" x14ac:dyDescent="0.25">
      <c r="A13" s="3" t="s">
        <v>46</v>
      </c>
      <c r="B13" s="4" t="s">
        <v>49</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35</v>
      </c>
      <c r="L13" s="5">
        <v>24</v>
      </c>
      <c r="M13" s="5">
        <v>85.828408249999995</v>
      </c>
      <c r="N13" s="5">
        <v>113.8</v>
      </c>
      <c r="O13" s="5">
        <v>74.7</v>
      </c>
      <c r="P13" s="5">
        <v>206.8</v>
      </c>
      <c r="Q13" s="5">
        <v>3.778</v>
      </c>
      <c r="R13" s="5">
        <v>18.5</v>
      </c>
      <c r="S13" s="6">
        <v>40991</v>
      </c>
      <c r="W13" s="13"/>
    </row>
    <row r="14" spans="1:23" x14ac:dyDescent="0.25">
      <c r="A14" s="3" t="s">
        <v>46</v>
      </c>
      <c r="B14" s="4" t="s">
        <v>50</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35</v>
      </c>
      <c r="L14" s="5">
        <v>25</v>
      </c>
      <c r="M14" s="5">
        <v>84.254525810000004</v>
      </c>
      <c r="N14" s="5">
        <v>112.2</v>
      </c>
      <c r="O14" s="5">
        <v>73.5</v>
      </c>
      <c r="P14" s="5">
        <v>200</v>
      </c>
      <c r="Q14" s="5">
        <v>3.5910000000000002</v>
      </c>
      <c r="R14" s="5">
        <v>17.5</v>
      </c>
      <c r="S14" s="6">
        <v>40747</v>
      </c>
    </row>
    <row r="15" spans="1:23" x14ac:dyDescent="0.25">
      <c r="A15" s="3" t="s">
        <v>51</v>
      </c>
      <c r="B15" s="4" t="s">
        <v>52</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35</v>
      </c>
      <c r="L15" s="5">
        <v>22</v>
      </c>
      <c r="M15" s="5">
        <v>113.85459760000001</v>
      </c>
      <c r="N15" s="5">
        <v>115.3</v>
      </c>
      <c r="O15" s="5">
        <v>74.5</v>
      </c>
      <c r="P15" s="5">
        <v>207.2</v>
      </c>
      <c r="Q15" s="5">
        <v>3.9780000000000002</v>
      </c>
      <c r="R15" s="5">
        <v>18.5</v>
      </c>
      <c r="S15" s="6">
        <v>40962</v>
      </c>
    </row>
    <row r="16" spans="1:23" x14ac:dyDescent="0.25">
      <c r="A16" s="3" t="s">
        <v>51</v>
      </c>
      <c r="B16" s="4" t="s">
        <v>53</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35</v>
      </c>
      <c r="L16" s="5">
        <v>22</v>
      </c>
      <c r="M16" s="5">
        <v>115.6213578</v>
      </c>
      <c r="N16" s="5">
        <v>112.2</v>
      </c>
      <c r="O16" s="5">
        <v>75</v>
      </c>
      <c r="P16" s="5">
        <v>201</v>
      </c>
      <c r="Q16" s="5">
        <v>3.875</v>
      </c>
      <c r="R16" s="5">
        <v>18.5</v>
      </c>
      <c r="S16" s="6">
        <v>40662</v>
      </c>
      <c r="V16" s="13"/>
    </row>
    <row r="17" spans="1:26" x14ac:dyDescent="0.25">
      <c r="A17" s="3" t="s">
        <v>51</v>
      </c>
      <c r="B17" s="4" t="s">
        <v>54</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35</v>
      </c>
      <c r="L17" s="5">
        <v>22</v>
      </c>
      <c r="M17" s="5">
        <v>113.7658739</v>
      </c>
      <c r="N17" s="5">
        <v>108</v>
      </c>
      <c r="O17" s="5">
        <v>75.5</v>
      </c>
      <c r="P17" s="5">
        <v>200.6</v>
      </c>
      <c r="Q17" s="5">
        <v>3.843</v>
      </c>
      <c r="R17" s="5">
        <v>19</v>
      </c>
      <c r="S17" s="6">
        <v>40874</v>
      </c>
    </row>
    <row r="18" spans="1:26" x14ac:dyDescent="0.25">
      <c r="A18" s="3" t="s">
        <v>51</v>
      </c>
      <c r="B18" s="4" t="s">
        <v>55</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35</v>
      </c>
      <c r="L18" s="5">
        <v>22</v>
      </c>
      <c r="M18" s="5">
        <v>83.483093580000002</v>
      </c>
      <c r="N18" s="5">
        <v>107.4</v>
      </c>
      <c r="O18" s="5">
        <v>70.3</v>
      </c>
      <c r="P18" s="5">
        <v>194.8</v>
      </c>
      <c r="Q18" s="5">
        <v>3.77</v>
      </c>
      <c r="R18" s="5">
        <v>18</v>
      </c>
      <c r="S18" s="6">
        <v>40814</v>
      </c>
    </row>
    <row r="19" spans="1:26" x14ac:dyDescent="0.25">
      <c r="A19" s="3" t="s">
        <v>51</v>
      </c>
      <c r="B19" s="4" t="s">
        <v>56</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57</v>
      </c>
      <c r="L19" s="5">
        <v>15</v>
      </c>
      <c r="M19" s="5">
        <v>109.5091165</v>
      </c>
      <c r="N19" s="5">
        <v>117.5</v>
      </c>
      <c r="O19" s="5">
        <v>77</v>
      </c>
      <c r="P19" s="5">
        <v>201.2</v>
      </c>
      <c r="Q19" s="5">
        <v>5.5720000000000001</v>
      </c>
      <c r="R19" s="5">
        <v>30</v>
      </c>
      <c r="S19" s="6">
        <v>41016</v>
      </c>
    </row>
    <row r="20" spans="1:26" x14ac:dyDescent="0.25">
      <c r="A20" s="3" t="s">
        <v>58</v>
      </c>
      <c r="B20" s="4" t="s">
        <v>59</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35</v>
      </c>
      <c r="L20" s="5">
        <v>27</v>
      </c>
      <c r="M20" s="5">
        <v>46.363347470000001</v>
      </c>
      <c r="N20" s="5">
        <v>104.1</v>
      </c>
      <c r="O20" s="5">
        <v>67.900000000000006</v>
      </c>
      <c r="P20" s="5">
        <v>180.9</v>
      </c>
      <c r="Q20" s="5">
        <v>2.6760000000000002</v>
      </c>
      <c r="R20" s="5">
        <v>14.3</v>
      </c>
      <c r="S20" s="6">
        <v>40772</v>
      </c>
    </row>
    <row r="21" spans="1:26" x14ac:dyDescent="0.25">
      <c r="A21" s="3" t="s">
        <v>58</v>
      </c>
      <c r="B21" s="4" t="s">
        <v>60</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35</v>
      </c>
      <c r="L21" s="5">
        <v>25</v>
      </c>
      <c r="M21" s="5">
        <v>67.314462160000005</v>
      </c>
      <c r="N21" s="5">
        <v>107</v>
      </c>
      <c r="O21" s="5">
        <v>69.400000000000006</v>
      </c>
      <c r="P21" s="5">
        <v>190.4</v>
      </c>
      <c r="Q21" s="5">
        <v>3.0510000000000002</v>
      </c>
      <c r="R21" s="5">
        <v>15</v>
      </c>
      <c r="S21" s="6">
        <v>40987</v>
      </c>
      <c r="V21" s="1"/>
      <c r="W21" s="1"/>
    </row>
    <row r="22" spans="1:26" x14ac:dyDescent="0.25">
      <c r="A22" s="3" t="s">
        <v>58</v>
      </c>
      <c r="B22" s="4" t="s">
        <v>61</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35</v>
      </c>
      <c r="L22" s="5">
        <v>25</v>
      </c>
      <c r="M22" s="5">
        <v>69.991395600000004</v>
      </c>
      <c r="N22" s="5">
        <v>107.5</v>
      </c>
      <c r="O22" s="5">
        <v>72.5</v>
      </c>
      <c r="P22" s="5">
        <v>200.9</v>
      </c>
      <c r="Q22" s="5">
        <v>3.33</v>
      </c>
      <c r="R22" s="5">
        <v>16.600000000000001</v>
      </c>
      <c r="S22" s="6">
        <v>40687</v>
      </c>
      <c r="X22" s="14"/>
      <c r="Y22" s="14"/>
      <c r="Z22" s="14"/>
    </row>
    <row r="23" spans="1:26" x14ac:dyDescent="0.25">
      <c r="A23" s="3" t="s">
        <v>58</v>
      </c>
      <c r="B23" s="4" t="s">
        <v>62</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35</v>
      </c>
      <c r="L23" s="5">
        <v>27</v>
      </c>
      <c r="M23" s="5">
        <v>72.030917189999997</v>
      </c>
      <c r="N23" s="5">
        <v>110.5</v>
      </c>
      <c r="O23" s="5">
        <v>72.7</v>
      </c>
      <c r="P23" s="5">
        <v>197.9</v>
      </c>
      <c r="Q23" s="5">
        <v>3.34</v>
      </c>
      <c r="R23" s="5">
        <v>17</v>
      </c>
      <c r="S23" s="6">
        <v>40899</v>
      </c>
    </row>
    <row r="24" spans="1:26" x14ac:dyDescent="0.25">
      <c r="A24" s="3" t="s">
        <v>58</v>
      </c>
      <c r="B24" s="4" t="s">
        <v>63</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35</v>
      </c>
      <c r="L24" s="5">
        <v>25</v>
      </c>
      <c r="M24" s="5">
        <v>81.118543329999994</v>
      </c>
      <c r="N24" s="5">
        <v>101.1</v>
      </c>
      <c r="O24" s="5">
        <v>74.099999999999994</v>
      </c>
      <c r="P24" s="5">
        <v>193.2</v>
      </c>
      <c r="Q24" s="5">
        <v>3.5</v>
      </c>
      <c r="R24" s="5">
        <v>16.8</v>
      </c>
      <c r="S24" s="6">
        <v>40839</v>
      </c>
    </row>
    <row r="25" spans="1:26" x14ac:dyDescent="0.25">
      <c r="A25" s="3" t="s">
        <v>58</v>
      </c>
      <c r="B25" s="4" t="s">
        <v>64</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35</v>
      </c>
      <c r="L25" s="5">
        <v>22</v>
      </c>
      <c r="M25" s="5">
        <v>141.14115000000001</v>
      </c>
      <c r="N25" s="5">
        <v>104.5</v>
      </c>
      <c r="O25" s="5">
        <v>73.599999999999994</v>
      </c>
      <c r="P25" s="5">
        <v>179.7</v>
      </c>
      <c r="Q25" s="5">
        <v>3.21</v>
      </c>
      <c r="R25" s="5">
        <v>19.100000000000001</v>
      </c>
      <c r="S25" s="6">
        <v>41041</v>
      </c>
    </row>
    <row r="26" spans="1:26" x14ac:dyDescent="0.25">
      <c r="A26" s="3" t="s">
        <v>58</v>
      </c>
      <c r="B26" s="4" t="s">
        <v>65</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35</v>
      </c>
      <c r="L26" s="5">
        <v>33</v>
      </c>
      <c r="M26" s="5">
        <v>48.297636099999998</v>
      </c>
      <c r="N26" s="5">
        <v>97.1</v>
      </c>
      <c r="O26" s="5">
        <v>66.7</v>
      </c>
      <c r="P26" s="5">
        <v>174.3</v>
      </c>
      <c r="Q26" s="5">
        <v>2.3980000000000001</v>
      </c>
      <c r="R26" s="5">
        <v>13.2</v>
      </c>
      <c r="S26" s="6">
        <v>40797</v>
      </c>
    </row>
    <row r="27" spans="1:26" x14ac:dyDescent="0.25">
      <c r="A27" s="3" t="s">
        <v>58</v>
      </c>
      <c r="B27" s="4" t="s">
        <v>66</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35</v>
      </c>
      <c r="L27" s="5">
        <v>45</v>
      </c>
      <c r="M27" s="5">
        <v>23.276272330000001</v>
      </c>
      <c r="N27" s="5">
        <v>93.1</v>
      </c>
      <c r="O27" s="5">
        <v>62.6</v>
      </c>
      <c r="P27" s="5">
        <v>149.4</v>
      </c>
      <c r="Q27" s="5">
        <v>1.895</v>
      </c>
      <c r="R27" s="5">
        <v>10.3</v>
      </c>
      <c r="S27" s="6">
        <v>41012</v>
      </c>
    </row>
    <row r="28" spans="1:26" x14ac:dyDescent="0.25">
      <c r="A28" s="3" t="s">
        <v>58</v>
      </c>
      <c r="B28" s="4" t="s">
        <v>67</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35</v>
      </c>
      <c r="L28" s="5">
        <v>27</v>
      </c>
      <c r="M28" s="5">
        <v>71.838039440000003</v>
      </c>
      <c r="N28" s="5">
        <v>110.5</v>
      </c>
      <c r="O28" s="5">
        <v>73</v>
      </c>
      <c r="P28" s="5">
        <v>200</v>
      </c>
      <c r="Q28" s="5">
        <v>3.3889999999999998</v>
      </c>
      <c r="R28" s="5">
        <v>17</v>
      </c>
      <c r="S28" s="6">
        <v>40712</v>
      </c>
    </row>
    <row r="29" spans="1:26" x14ac:dyDescent="0.25">
      <c r="A29" s="3" t="s">
        <v>68</v>
      </c>
      <c r="B29" s="4" t="s">
        <v>69</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35</v>
      </c>
      <c r="L29" s="5">
        <v>24</v>
      </c>
      <c r="M29" s="5">
        <v>65.957183959999995</v>
      </c>
      <c r="N29" s="5">
        <v>103.7</v>
      </c>
      <c r="O29" s="5">
        <v>69.7</v>
      </c>
      <c r="P29" s="5">
        <v>190.9</v>
      </c>
      <c r="Q29" s="5">
        <v>2.9670000000000001</v>
      </c>
      <c r="R29" s="5">
        <v>15.9</v>
      </c>
      <c r="S29" s="6">
        <v>40924</v>
      </c>
    </row>
    <row r="30" spans="1:26" x14ac:dyDescent="0.25">
      <c r="A30" s="3" t="s">
        <v>68</v>
      </c>
      <c r="B30" s="4" t="s">
        <v>70</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35</v>
      </c>
      <c r="L30" s="5">
        <v>24</v>
      </c>
      <c r="M30" s="5">
        <v>69.521355049999997</v>
      </c>
      <c r="N30" s="5">
        <v>106</v>
      </c>
      <c r="O30" s="5">
        <v>69.2</v>
      </c>
      <c r="P30" s="5">
        <v>193</v>
      </c>
      <c r="Q30" s="5">
        <v>3.3319999999999999</v>
      </c>
      <c r="R30" s="5">
        <v>16</v>
      </c>
      <c r="S30" s="6">
        <v>40864</v>
      </c>
    </row>
    <row r="31" spans="1:26" x14ac:dyDescent="0.25">
      <c r="A31" s="3" t="s">
        <v>68</v>
      </c>
      <c r="B31" s="4" t="s">
        <v>71</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35</v>
      </c>
      <c r="L31" s="5">
        <v>26</v>
      </c>
      <c r="M31" s="5">
        <v>80.02378204</v>
      </c>
      <c r="N31" s="5">
        <v>113</v>
      </c>
      <c r="O31" s="5">
        <v>74.400000000000006</v>
      </c>
      <c r="P31" s="5">
        <v>209.1</v>
      </c>
      <c r="Q31" s="5">
        <v>3.452</v>
      </c>
      <c r="R31" s="5">
        <v>17</v>
      </c>
      <c r="S31" s="6">
        <v>41066</v>
      </c>
    </row>
    <row r="32" spans="1:26" x14ac:dyDescent="0.25">
      <c r="A32" s="3" t="s">
        <v>68</v>
      </c>
      <c r="B32" s="4" t="s">
        <v>72</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35</v>
      </c>
      <c r="L32" s="5">
        <v>27</v>
      </c>
      <c r="M32" s="5">
        <v>53.566199869999998</v>
      </c>
      <c r="N32" s="5">
        <v>108</v>
      </c>
      <c r="O32" s="5">
        <v>71</v>
      </c>
      <c r="P32" s="5">
        <v>186</v>
      </c>
      <c r="Q32" s="5">
        <v>2.911</v>
      </c>
      <c r="R32" s="5">
        <v>16</v>
      </c>
      <c r="S32" s="6">
        <v>40822</v>
      </c>
    </row>
    <row r="33" spans="1:19" x14ac:dyDescent="0.25">
      <c r="A33" s="3" t="s">
        <v>68</v>
      </c>
      <c r="B33" s="4" t="s">
        <v>73</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35</v>
      </c>
      <c r="L33" s="5">
        <v>23</v>
      </c>
      <c r="M33" s="5">
        <v>101.3292807</v>
      </c>
      <c r="N33" s="5">
        <v>113</v>
      </c>
      <c r="O33" s="5">
        <v>74.400000000000006</v>
      </c>
      <c r="P33" s="5">
        <v>207.7</v>
      </c>
      <c r="Q33" s="5">
        <v>3.5640000000000001</v>
      </c>
      <c r="R33" s="5">
        <v>17</v>
      </c>
      <c r="S33" s="6">
        <v>41037</v>
      </c>
    </row>
    <row r="34" spans="1:19" x14ac:dyDescent="0.25">
      <c r="A34" s="3" t="s">
        <v>68</v>
      </c>
      <c r="B34" s="4" t="s">
        <v>74</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35</v>
      </c>
      <c r="L34" s="5">
        <v>23</v>
      </c>
      <c r="M34" s="5">
        <v>101.6552441</v>
      </c>
      <c r="N34" s="5">
        <v>113</v>
      </c>
      <c r="O34" s="5">
        <v>74.400000000000006</v>
      </c>
      <c r="P34" s="5">
        <v>197.8</v>
      </c>
      <c r="Q34" s="5">
        <v>3.5670000000000002</v>
      </c>
      <c r="R34" s="5">
        <v>17</v>
      </c>
      <c r="S34" s="6">
        <v>40949</v>
      </c>
    </row>
    <row r="35" spans="1:19" x14ac:dyDescent="0.25">
      <c r="A35" s="3" t="s">
        <v>75</v>
      </c>
      <c r="B35" s="4" t="s">
        <v>76</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35</v>
      </c>
      <c r="L35" s="5">
        <v>29</v>
      </c>
      <c r="M35" s="5">
        <v>52.084898750000001</v>
      </c>
      <c r="N35" s="5">
        <v>105</v>
      </c>
      <c r="O35" s="5">
        <v>74.400000000000006</v>
      </c>
      <c r="P35" s="5">
        <v>174.4</v>
      </c>
      <c r="Q35" s="5">
        <v>2.5670000000000002</v>
      </c>
      <c r="R35" s="5">
        <v>12.5</v>
      </c>
      <c r="S35" s="6">
        <v>40889</v>
      </c>
    </row>
    <row r="36" spans="1:19" x14ac:dyDescent="0.25">
      <c r="A36" s="3" t="s">
        <v>75</v>
      </c>
      <c r="B36" s="4" t="s">
        <v>77</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35</v>
      </c>
      <c r="L36" s="5">
        <v>24</v>
      </c>
      <c r="M36" s="5">
        <v>65.650508340000002</v>
      </c>
      <c r="N36" s="5">
        <v>103.7</v>
      </c>
      <c r="O36" s="5">
        <v>69.099999999999994</v>
      </c>
      <c r="P36" s="5">
        <v>190.2</v>
      </c>
      <c r="Q36" s="5">
        <v>2.879</v>
      </c>
      <c r="R36" s="5">
        <v>15.9</v>
      </c>
      <c r="S36" s="6">
        <v>41091</v>
      </c>
    </row>
    <row r="37" spans="1:19" x14ac:dyDescent="0.25">
      <c r="A37" s="3" t="s">
        <v>75</v>
      </c>
      <c r="B37" s="4" t="s">
        <v>78</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35</v>
      </c>
      <c r="L37" s="5">
        <v>24</v>
      </c>
      <c r="M37" s="5">
        <v>67.876107840000003</v>
      </c>
      <c r="N37" s="5">
        <v>108</v>
      </c>
      <c r="O37" s="5">
        <v>71</v>
      </c>
      <c r="P37" s="5">
        <v>186</v>
      </c>
      <c r="Q37" s="5">
        <v>3.0579999999999998</v>
      </c>
      <c r="R37" s="5">
        <v>16</v>
      </c>
      <c r="S37" s="6">
        <v>40847</v>
      </c>
    </row>
    <row r="38" spans="1:19" x14ac:dyDescent="0.25">
      <c r="A38" s="3" t="s">
        <v>75</v>
      </c>
      <c r="B38" s="4" t="s">
        <v>79</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35</v>
      </c>
      <c r="L38" s="5">
        <v>22</v>
      </c>
      <c r="M38" s="5">
        <v>80.831470170000003</v>
      </c>
      <c r="N38" s="5">
        <v>113</v>
      </c>
      <c r="O38" s="5">
        <v>74.7</v>
      </c>
      <c r="P38" s="5">
        <v>203.7</v>
      </c>
      <c r="Q38" s="5">
        <v>3.4889999999999999</v>
      </c>
      <c r="R38" s="5">
        <v>17</v>
      </c>
      <c r="S38" s="6">
        <v>41062</v>
      </c>
    </row>
    <row r="39" spans="1:19" x14ac:dyDescent="0.25">
      <c r="A39" s="3" t="s">
        <v>75</v>
      </c>
      <c r="B39" s="4" t="s">
        <v>80</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35</v>
      </c>
      <c r="L39" s="5">
        <v>16</v>
      </c>
      <c r="M39" s="5">
        <v>188.14432300000001</v>
      </c>
      <c r="N39" s="5">
        <v>96.2</v>
      </c>
      <c r="O39" s="5">
        <v>75.7</v>
      </c>
      <c r="P39" s="5">
        <v>176.7</v>
      </c>
      <c r="Q39" s="5">
        <v>3.375</v>
      </c>
      <c r="R39" s="5">
        <v>19</v>
      </c>
      <c r="S39" s="6">
        <v>40762</v>
      </c>
    </row>
    <row r="40" spans="1:19" x14ac:dyDescent="0.25">
      <c r="A40" s="3" t="s">
        <v>75</v>
      </c>
      <c r="B40" s="4" t="s">
        <v>81</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57</v>
      </c>
      <c r="L40" s="5">
        <v>17</v>
      </c>
      <c r="M40" s="5">
        <v>90.211700050000005</v>
      </c>
      <c r="N40" s="5">
        <v>138.69999999999999</v>
      </c>
      <c r="O40" s="5">
        <v>79.3</v>
      </c>
      <c r="P40" s="5">
        <v>224.2</v>
      </c>
      <c r="Q40" s="5">
        <v>4.47</v>
      </c>
      <c r="R40" s="5">
        <v>26</v>
      </c>
      <c r="S40" s="6">
        <v>40974</v>
      </c>
    </row>
    <row r="41" spans="1:19" x14ac:dyDescent="0.25">
      <c r="A41" s="3" t="s">
        <v>75</v>
      </c>
      <c r="B41" s="4" t="s">
        <v>82</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57</v>
      </c>
      <c r="L41" s="5">
        <v>15</v>
      </c>
      <c r="M41" s="5">
        <v>71.135291609999996</v>
      </c>
      <c r="N41" s="5">
        <v>109.6</v>
      </c>
      <c r="O41" s="5">
        <v>78.8</v>
      </c>
      <c r="P41" s="5">
        <v>192.6</v>
      </c>
      <c r="Q41" s="5">
        <v>4.2450000000000001</v>
      </c>
      <c r="R41" s="5">
        <v>32</v>
      </c>
      <c r="S41" s="6">
        <v>40914</v>
      </c>
    </row>
    <row r="42" spans="1:19" x14ac:dyDescent="0.25">
      <c r="A42" s="3" t="s">
        <v>75</v>
      </c>
      <c r="B42" s="4" t="s">
        <v>83</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57</v>
      </c>
      <c r="L42" s="5">
        <v>16</v>
      </c>
      <c r="M42" s="5">
        <v>70.078321540000005</v>
      </c>
      <c r="N42" s="5">
        <v>127.2</v>
      </c>
      <c r="O42" s="5">
        <v>78.8</v>
      </c>
      <c r="P42" s="5">
        <v>208.5</v>
      </c>
      <c r="Q42" s="5">
        <v>4.298</v>
      </c>
      <c r="R42" s="5">
        <v>32</v>
      </c>
      <c r="S42" s="6">
        <v>41116</v>
      </c>
    </row>
    <row r="43" spans="1:19" x14ac:dyDescent="0.25">
      <c r="A43" s="3" t="s">
        <v>75</v>
      </c>
      <c r="B43" s="4" t="s">
        <v>84</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57</v>
      </c>
      <c r="L43" s="5">
        <v>19</v>
      </c>
      <c r="M43" s="5">
        <v>49.64500177</v>
      </c>
      <c r="N43" s="5">
        <v>131</v>
      </c>
      <c r="O43" s="5">
        <v>71.5</v>
      </c>
      <c r="P43" s="5">
        <v>215</v>
      </c>
      <c r="Q43" s="5">
        <v>3.5569999999999999</v>
      </c>
      <c r="R43" s="5">
        <v>22</v>
      </c>
      <c r="S43" s="6">
        <v>40872</v>
      </c>
    </row>
    <row r="44" spans="1:19" x14ac:dyDescent="0.25">
      <c r="A44" s="3" t="s">
        <v>75</v>
      </c>
      <c r="B44" s="4" t="s">
        <v>85</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57</v>
      </c>
      <c r="L44" s="5">
        <v>17</v>
      </c>
      <c r="M44" s="5">
        <v>92.85412522</v>
      </c>
      <c r="N44" s="5">
        <v>115.7</v>
      </c>
      <c r="O44" s="5">
        <v>71.7</v>
      </c>
      <c r="P44" s="5">
        <v>193.5</v>
      </c>
      <c r="Q44" s="5">
        <v>4.3940000000000001</v>
      </c>
      <c r="R44" s="5">
        <v>25</v>
      </c>
      <c r="S44" s="6">
        <v>41087</v>
      </c>
    </row>
    <row r="45" spans="1:19" x14ac:dyDescent="0.25">
      <c r="A45" s="3" t="s">
        <v>75</v>
      </c>
      <c r="B45" s="4" t="s">
        <v>86</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57</v>
      </c>
      <c r="L45" s="5">
        <v>24</v>
      </c>
      <c r="M45" s="5">
        <v>61.227000310000001</v>
      </c>
      <c r="N45" s="5">
        <v>113.3</v>
      </c>
      <c r="O45" s="5">
        <v>76.8</v>
      </c>
      <c r="P45" s="5">
        <v>186.3</v>
      </c>
      <c r="Q45" s="5">
        <v>3.5329999999999999</v>
      </c>
      <c r="R45" s="5">
        <v>20</v>
      </c>
      <c r="S45" s="6">
        <v>40787</v>
      </c>
    </row>
    <row r="46" spans="1:19" x14ac:dyDescent="0.25">
      <c r="A46" s="3" t="s">
        <v>87</v>
      </c>
      <c r="B46" s="4" t="s">
        <v>88</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35</v>
      </c>
      <c r="L46" s="5">
        <v>30</v>
      </c>
      <c r="M46" s="5">
        <v>44.083709460000001</v>
      </c>
      <c r="N46" s="5">
        <v>98.4</v>
      </c>
      <c r="O46" s="5">
        <v>67</v>
      </c>
      <c r="P46" s="5">
        <v>174.7</v>
      </c>
      <c r="Q46" s="5">
        <v>2.468</v>
      </c>
      <c r="R46" s="5">
        <v>12.7</v>
      </c>
      <c r="S46" s="6">
        <v>40999</v>
      </c>
    </row>
    <row r="47" spans="1:19" x14ac:dyDescent="0.25">
      <c r="A47" s="3" t="s">
        <v>87</v>
      </c>
      <c r="B47" s="4" t="s">
        <v>89</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35</v>
      </c>
      <c r="L47" s="5">
        <v>24</v>
      </c>
      <c r="M47" s="5">
        <v>76.509184559999994</v>
      </c>
      <c r="N47" s="5">
        <v>101.3</v>
      </c>
      <c r="O47" s="5">
        <v>73.099999999999994</v>
      </c>
      <c r="P47" s="5">
        <v>183.2</v>
      </c>
      <c r="Q47" s="5">
        <v>3.2029999999999998</v>
      </c>
      <c r="R47" s="5">
        <v>15.7</v>
      </c>
      <c r="S47" s="6">
        <v>40939</v>
      </c>
    </row>
    <row r="48" spans="1:19" x14ac:dyDescent="0.25">
      <c r="A48" s="3" t="s">
        <v>87</v>
      </c>
      <c r="B48" s="4" t="s">
        <v>90</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35</v>
      </c>
      <c r="L48" s="5">
        <v>25</v>
      </c>
      <c r="M48" s="5">
        <v>67.351010720000005</v>
      </c>
      <c r="N48" s="5">
        <v>106.5</v>
      </c>
      <c r="O48" s="5">
        <v>69.099999999999994</v>
      </c>
      <c r="P48" s="5">
        <v>184.6</v>
      </c>
      <c r="Q48" s="5">
        <v>2.7690000000000001</v>
      </c>
      <c r="R48" s="5">
        <v>15</v>
      </c>
      <c r="S48" s="6">
        <v>41141</v>
      </c>
    </row>
    <row r="49" spans="1:19" x14ac:dyDescent="0.25">
      <c r="A49" s="3" t="s">
        <v>87</v>
      </c>
      <c r="B49" s="4" t="s">
        <v>91</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35</v>
      </c>
      <c r="L49" s="5">
        <v>24</v>
      </c>
      <c r="M49" s="5">
        <v>62.503739500000002</v>
      </c>
      <c r="N49" s="5">
        <v>108.5</v>
      </c>
      <c r="O49" s="5">
        <v>73</v>
      </c>
      <c r="P49" s="5">
        <v>197.6</v>
      </c>
      <c r="Q49" s="5">
        <v>3.3679999999999999</v>
      </c>
      <c r="R49" s="5">
        <v>16</v>
      </c>
      <c r="S49" s="6">
        <v>40897</v>
      </c>
    </row>
    <row r="50" spans="1:19" x14ac:dyDescent="0.25">
      <c r="A50" s="3" t="s">
        <v>87</v>
      </c>
      <c r="B50" s="4" t="s">
        <v>92</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35</v>
      </c>
      <c r="L50" s="5">
        <v>30</v>
      </c>
      <c r="M50" s="5">
        <v>43.117132009999999</v>
      </c>
      <c r="N50" s="5">
        <v>103</v>
      </c>
      <c r="O50" s="5">
        <v>66.900000000000006</v>
      </c>
      <c r="P50" s="5">
        <v>174.8</v>
      </c>
      <c r="Q50" s="5">
        <v>2.5640000000000001</v>
      </c>
      <c r="R50" s="5">
        <v>13.2</v>
      </c>
      <c r="S50" s="6">
        <v>41112</v>
      </c>
    </row>
    <row r="51" spans="1:19" x14ac:dyDescent="0.25">
      <c r="A51" s="3" t="s">
        <v>87</v>
      </c>
      <c r="B51" s="4" t="s">
        <v>93</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35</v>
      </c>
      <c r="L51" s="5">
        <v>21</v>
      </c>
      <c r="M51" s="5">
        <v>80.499536710000001</v>
      </c>
      <c r="N51" s="5">
        <v>114.7</v>
      </c>
      <c r="O51" s="5">
        <v>78.2</v>
      </c>
      <c r="P51" s="5">
        <v>212</v>
      </c>
      <c r="Q51" s="5">
        <v>3.9079999999999999</v>
      </c>
      <c r="R51" s="5">
        <v>19</v>
      </c>
      <c r="S51" s="6">
        <v>40812</v>
      </c>
    </row>
    <row r="52" spans="1:19" x14ac:dyDescent="0.25">
      <c r="A52" s="3" t="s">
        <v>87</v>
      </c>
      <c r="B52" s="4" t="s">
        <v>94</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57</v>
      </c>
      <c r="L52" s="5">
        <v>19</v>
      </c>
      <c r="M52" s="5">
        <v>87.635495779999999</v>
      </c>
      <c r="N52" s="5">
        <v>111.6</v>
      </c>
      <c r="O52" s="5">
        <v>70.2</v>
      </c>
      <c r="P52" s="5">
        <v>190.7</v>
      </c>
      <c r="Q52" s="5">
        <v>3.8759999999999999</v>
      </c>
      <c r="R52" s="5">
        <v>21</v>
      </c>
      <c r="S52" s="6">
        <v>41024</v>
      </c>
    </row>
    <row r="53" spans="1:19" x14ac:dyDescent="0.25">
      <c r="A53" s="3" t="s">
        <v>87</v>
      </c>
      <c r="B53" s="4" t="s">
        <v>95</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57</v>
      </c>
      <c r="L53" s="5">
        <v>21</v>
      </c>
      <c r="M53" s="5">
        <v>62.095048390000002</v>
      </c>
      <c r="N53" s="5">
        <v>120.7</v>
      </c>
      <c r="O53" s="5">
        <v>76.599999999999994</v>
      </c>
      <c r="P53" s="5">
        <v>200.9</v>
      </c>
      <c r="Q53" s="5">
        <v>3.7610000000000001</v>
      </c>
      <c r="R53" s="5">
        <v>26</v>
      </c>
      <c r="S53" s="6">
        <v>40964</v>
      </c>
    </row>
    <row r="54" spans="1:19" x14ac:dyDescent="0.25">
      <c r="A54" s="3" t="s">
        <v>87</v>
      </c>
      <c r="B54" s="4" t="s">
        <v>96</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57</v>
      </c>
      <c r="L54" s="5">
        <v>16</v>
      </c>
      <c r="M54" s="5">
        <v>100.0248023</v>
      </c>
      <c r="N54" s="5">
        <v>119</v>
      </c>
      <c r="O54" s="5">
        <v>78.7</v>
      </c>
      <c r="P54" s="5">
        <v>204.6</v>
      </c>
      <c r="Q54" s="5">
        <v>4.8079999999999998</v>
      </c>
      <c r="R54" s="5">
        <v>26</v>
      </c>
      <c r="S54" s="6">
        <v>41166</v>
      </c>
    </row>
    <row r="55" spans="1:19" x14ac:dyDescent="0.25">
      <c r="A55" s="3" t="s">
        <v>87</v>
      </c>
      <c r="B55" s="4" t="s">
        <v>97</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57</v>
      </c>
      <c r="L55" s="5">
        <v>23</v>
      </c>
      <c r="M55" s="5">
        <v>47.389531310000002</v>
      </c>
      <c r="N55" s="5">
        <v>117.5</v>
      </c>
      <c r="O55" s="5">
        <v>69.400000000000006</v>
      </c>
      <c r="P55" s="5">
        <v>200.7</v>
      </c>
      <c r="Q55" s="5">
        <v>3.0859999999999999</v>
      </c>
      <c r="R55" s="5">
        <v>20</v>
      </c>
      <c r="S55" s="6">
        <v>40922</v>
      </c>
    </row>
    <row r="56" spans="1:19" x14ac:dyDescent="0.25">
      <c r="A56" s="3" t="s">
        <v>87</v>
      </c>
      <c r="B56" s="4" t="s">
        <v>98</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57</v>
      </c>
      <c r="L56" s="5">
        <v>18</v>
      </c>
      <c r="M56" s="5">
        <v>89.401934729999994</v>
      </c>
      <c r="N56" s="5">
        <v>138.5</v>
      </c>
      <c r="O56" s="5">
        <v>79.099999999999994</v>
      </c>
      <c r="P56" s="5">
        <v>224.5</v>
      </c>
      <c r="Q56" s="5">
        <v>4.2409999999999997</v>
      </c>
      <c r="R56" s="5">
        <v>25.1</v>
      </c>
      <c r="S56" s="6">
        <v>41137</v>
      </c>
    </row>
    <row r="57" spans="1:19" x14ac:dyDescent="0.25">
      <c r="A57" s="3" t="s">
        <v>99</v>
      </c>
      <c r="B57" s="4" t="s">
        <v>100</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35</v>
      </c>
      <c r="L57" s="5">
        <v>32</v>
      </c>
      <c r="M57" s="5">
        <v>42.879097340000001</v>
      </c>
      <c r="N57" s="5">
        <v>103.2</v>
      </c>
      <c r="O57" s="5">
        <v>67.099999999999994</v>
      </c>
      <c r="P57" s="5">
        <v>175.1</v>
      </c>
      <c r="Q57" s="5">
        <v>2.339</v>
      </c>
      <c r="R57" s="5">
        <v>11.9</v>
      </c>
      <c r="S57" s="6">
        <v>40837</v>
      </c>
    </row>
    <row r="58" spans="1:19" x14ac:dyDescent="0.25">
      <c r="A58" s="3" t="s">
        <v>99</v>
      </c>
      <c r="B58" s="4" t="s">
        <v>101</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35</v>
      </c>
      <c r="L58" s="5">
        <v>27</v>
      </c>
      <c r="M58" s="5">
        <v>54.269548290000003</v>
      </c>
      <c r="N58" s="5">
        <v>106.9</v>
      </c>
      <c r="O58" s="5">
        <v>70.3</v>
      </c>
      <c r="P58" s="5">
        <v>188.8</v>
      </c>
      <c r="Q58" s="5">
        <v>2.9319999999999999</v>
      </c>
      <c r="R58" s="5">
        <v>17.100000000000001</v>
      </c>
      <c r="S58" s="6">
        <v>41049</v>
      </c>
    </row>
    <row r="59" spans="1:19" x14ac:dyDescent="0.25">
      <c r="A59" s="3" t="s">
        <v>99</v>
      </c>
      <c r="B59" s="4" t="s">
        <v>102</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57</v>
      </c>
      <c r="L59" s="5">
        <v>24</v>
      </c>
      <c r="M59" s="5">
        <v>60.087966620000003</v>
      </c>
      <c r="N59" s="5">
        <v>103.2</v>
      </c>
      <c r="O59" s="5">
        <v>68.900000000000006</v>
      </c>
      <c r="P59" s="5">
        <v>177.6</v>
      </c>
      <c r="Q59" s="5">
        <v>3.2189999999999999</v>
      </c>
      <c r="R59" s="5">
        <v>15.3</v>
      </c>
      <c r="S59" s="6">
        <v>40989</v>
      </c>
    </row>
    <row r="60" spans="1:19" x14ac:dyDescent="0.25">
      <c r="A60" s="3" t="s">
        <v>99</v>
      </c>
      <c r="B60" s="4" t="s">
        <v>103</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57</v>
      </c>
      <c r="L60" s="5">
        <v>19</v>
      </c>
      <c r="M60" s="5">
        <v>83.602500800000001</v>
      </c>
      <c r="N60" s="5">
        <v>106.4</v>
      </c>
      <c r="O60" s="5">
        <v>70.400000000000006</v>
      </c>
      <c r="P60" s="5">
        <v>178.2</v>
      </c>
      <c r="Q60" s="5">
        <v>3.8570000000000002</v>
      </c>
      <c r="R60" s="5">
        <v>21.1</v>
      </c>
      <c r="S60" s="6">
        <v>41191</v>
      </c>
    </row>
    <row r="61" spans="1:19" x14ac:dyDescent="0.25">
      <c r="A61" s="3" t="s">
        <v>99</v>
      </c>
      <c r="B61" s="4" t="s">
        <v>104</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57</v>
      </c>
      <c r="L61" s="5">
        <v>23</v>
      </c>
      <c r="M61" s="5">
        <v>85.217691340000002</v>
      </c>
      <c r="N61" s="5">
        <v>118.1</v>
      </c>
      <c r="O61" s="5">
        <v>75.599999999999994</v>
      </c>
      <c r="P61" s="5">
        <v>201.2</v>
      </c>
      <c r="Q61" s="5">
        <v>4.2880000000000003</v>
      </c>
      <c r="R61" s="5">
        <v>20</v>
      </c>
      <c r="S61" s="6">
        <v>40947</v>
      </c>
    </row>
    <row r="62" spans="1:19" x14ac:dyDescent="0.25">
      <c r="A62" s="3" t="s">
        <v>105</v>
      </c>
      <c r="B62" s="4" t="s">
        <v>106</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35</v>
      </c>
      <c r="L62" s="5">
        <v>31</v>
      </c>
      <c r="M62" s="5">
        <v>36.672283579999998</v>
      </c>
      <c r="N62" s="5">
        <v>96.1</v>
      </c>
      <c r="O62" s="5">
        <v>65.7</v>
      </c>
      <c r="P62" s="5">
        <v>166.7</v>
      </c>
      <c r="Q62" s="5">
        <v>2.2400000000000002</v>
      </c>
      <c r="R62" s="5">
        <v>11.9</v>
      </c>
      <c r="S62" s="6">
        <v>41162</v>
      </c>
    </row>
    <row r="63" spans="1:19" x14ac:dyDescent="0.25">
      <c r="A63" s="3" t="s">
        <v>105</v>
      </c>
      <c r="B63" s="4" t="s">
        <v>107</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35</v>
      </c>
      <c r="L63" s="5">
        <v>27</v>
      </c>
      <c r="M63" s="5">
        <v>54.590045160000003</v>
      </c>
      <c r="N63" s="5">
        <v>100.4</v>
      </c>
      <c r="O63" s="5">
        <v>66.900000000000006</v>
      </c>
      <c r="P63" s="5">
        <v>174</v>
      </c>
      <c r="Q63" s="5">
        <v>2.6259999999999999</v>
      </c>
      <c r="R63" s="5">
        <v>14.5</v>
      </c>
      <c r="S63" s="6">
        <v>40862</v>
      </c>
    </row>
    <row r="64" spans="1:19" x14ac:dyDescent="0.25">
      <c r="A64" s="3" t="s">
        <v>105</v>
      </c>
      <c r="B64" s="4" t="s">
        <v>108</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35</v>
      </c>
      <c r="L64" s="5">
        <v>25</v>
      </c>
      <c r="M64" s="5">
        <v>58.758248999999999</v>
      </c>
      <c r="N64" s="5">
        <v>106.3</v>
      </c>
      <c r="O64" s="5">
        <v>71.599999999999994</v>
      </c>
      <c r="P64" s="5">
        <v>185.4</v>
      </c>
      <c r="Q64" s="5">
        <v>3.0720000000000001</v>
      </c>
      <c r="R64" s="5">
        <v>17.2</v>
      </c>
      <c r="S64" s="6">
        <v>41074</v>
      </c>
    </row>
    <row r="65" spans="1:19" x14ac:dyDescent="0.25">
      <c r="A65" s="3" t="s">
        <v>109</v>
      </c>
      <c r="B65" s="4" t="s">
        <v>110</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35</v>
      </c>
      <c r="L65" s="5">
        <v>25</v>
      </c>
      <c r="M65" s="5">
        <v>92.436889230000006</v>
      </c>
      <c r="N65" s="5">
        <v>108.3</v>
      </c>
      <c r="O65" s="5">
        <v>70.2</v>
      </c>
      <c r="P65" s="5">
        <v>193.7</v>
      </c>
      <c r="Q65" s="5">
        <v>3.3420000000000001</v>
      </c>
      <c r="R65" s="5">
        <v>18.5</v>
      </c>
      <c r="S65" s="6">
        <v>41014</v>
      </c>
    </row>
    <row r="66" spans="1:19" x14ac:dyDescent="0.25">
      <c r="A66" s="3" t="s">
        <v>111</v>
      </c>
      <c r="B66" s="4" t="s">
        <v>112</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35</v>
      </c>
      <c r="L66" s="5">
        <v>21</v>
      </c>
      <c r="M66" s="5">
        <v>102.17898479999999</v>
      </c>
      <c r="N66" s="5">
        <v>114.5</v>
      </c>
      <c r="O66" s="5">
        <v>71.599999999999994</v>
      </c>
      <c r="P66" s="5">
        <v>191.3</v>
      </c>
      <c r="Q66" s="5">
        <v>3.65</v>
      </c>
      <c r="R66" s="5">
        <v>18.399999999999999</v>
      </c>
      <c r="S66" s="6">
        <v>41216</v>
      </c>
    </row>
    <row r="67" spans="1:19" x14ac:dyDescent="0.25">
      <c r="A67" s="3" t="s">
        <v>113</v>
      </c>
      <c r="B67" s="4" t="s">
        <v>114</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57</v>
      </c>
      <c r="L67" s="5">
        <v>17</v>
      </c>
      <c r="M67" s="5">
        <v>48.672897910000003</v>
      </c>
      <c r="N67" s="5">
        <v>93.4</v>
      </c>
      <c r="O67" s="5">
        <v>66.7</v>
      </c>
      <c r="P67" s="5">
        <v>152</v>
      </c>
      <c r="Q67" s="5">
        <v>3.0449999999999999</v>
      </c>
      <c r="R67" s="5">
        <v>19</v>
      </c>
      <c r="S67" s="6">
        <v>40972</v>
      </c>
    </row>
    <row r="68" spans="1:19" x14ac:dyDescent="0.25">
      <c r="A68" s="3" t="s">
        <v>113</v>
      </c>
      <c r="B68" s="4" t="s">
        <v>115</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57</v>
      </c>
      <c r="L68" s="5">
        <v>20</v>
      </c>
      <c r="M68" s="5">
        <v>76.584439619999998</v>
      </c>
      <c r="N68" s="5">
        <v>101.4</v>
      </c>
      <c r="O68" s="5">
        <v>69.400000000000006</v>
      </c>
      <c r="P68" s="5">
        <v>167.5</v>
      </c>
      <c r="Q68" s="5">
        <v>3.194</v>
      </c>
      <c r="R68" s="5">
        <v>20</v>
      </c>
      <c r="S68" s="6">
        <v>41187</v>
      </c>
    </row>
    <row r="69" spans="1:19" x14ac:dyDescent="0.25">
      <c r="A69" s="3" t="s">
        <v>113</v>
      </c>
      <c r="B69" s="4" t="s">
        <v>116</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57</v>
      </c>
      <c r="L69" s="5">
        <v>19</v>
      </c>
      <c r="M69" s="5">
        <v>80.387779120000005</v>
      </c>
      <c r="N69" s="5">
        <v>105.9</v>
      </c>
      <c r="O69" s="5">
        <v>72.3</v>
      </c>
      <c r="P69" s="5">
        <v>181.5</v>
      </c>
      <c r="Q69" s="5">
        <v>3.88</v>
      </c>
      <c r="R69" s="5">
        <v>20.5</v>
      </c>
      <c r="S69" s="6">
        <v>40887</v>
      </c>
    </row>
    <row r="70" spans="1:19" x14ac:dyDescent="0.25">
      <c r="A70" s="3" t="s">
        <v>117</v>
      </c>
      <c r="B70" s="4" t="s">
        <v>118</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35</v>
      </c>
      <c r="L70" s="5">
        <v>23</v>
      </c>
      <c r="M70" s="5">
        <v>87.211001039999999</v>
      </c>
      <c r="N70" s="5">
        <v>105.1</v>
      </c>
      <c r="O70" s="5">
        <v>70.5</v>
      </c>
      <c r="P70" s="5">
        <v>190.2</v>
      </c>
      <c r="Q70" s="5">
        <v>3.3730000000000002</v>
      </c>
      <c r="R70" s="5">
        <v>18.5</v>
      </c>
      <c r="S70" s="6">
        <v>41099</v>
      </c>
    </row>
    <row r="71" spans="1:19" x14ac:dyDescent="0.25">
      <c r="A71" s="3" t="s">
        <v>117</v>
      </c>
      <c r="B71" s="4" t="s">
        <v>119</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35</v>
      </c>
      <c r="L71" s="5">
        <v>23</v>
      </c>
      <c r="M71" s="5">
        <v>94.946698400000002</v>
      </c>
      <c r="N71" s="5">
        <v>110.2</v>
      </c>
      <c r="O71" s="5">
        <v>70.900000000000006</v>
      </c>
      <c r="P71" s="5">
        <v>189.2</v>
      </c>
      <c r="Q71" s="5">
        <v>3.6379999999999999</v>
      </c>
      <c r="R71" s="5">
        <v>19.8</v>
      </c>
      <c r="S71" s="6">
        <v>41039</v>
      </c>
    </row>
    <row r="72" spans="1:19" x14ac:dyDescent="0.25">
      <c r="A72" s="3" t="s">
        <v>117</v>
      </c>
      <c r="B72" s="4" t="s">
        <v>120</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35</v>
      </c>
      <c r="L72" s="5">
        <v>21</v>
      </c>
      <c r="M72" s="5">
        <v>125.0133574</v>
      </c>
      <c r="N72" s="5">
        <v>110.2</v>
      </c>
      <c r="O72" s="5">
        <v>70.900000000000006</v>
      </c>
      <c r="P72" s="5">
        <v>189.2</v>
      </c>
      <c r="Q72" s="5">
        <v>3.6930000000000001</v>
      </c>
      <c r="R72" s="5">
        <v>19.8</v>
      </c>
      <c r="S72" s="6">
        <v>41241</v>
      </c>
    </row>
    <row r="73" spans="1:19" x14ac:dyDescent="0.25">
      <c r="A73" s="3" t="s">
        <v>117</v>
      </c>
      <c r="B73" s="4" t="s">
        <v>121</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35</v>
      </c>
      <c r="L73" s="5">
        <v>22</v>
      </c>
      <c r="M73" s="5">
        <v>124.44671630000001</v>
      </c>
      <c r="N73" s="5">
        <v>112.2</v>
      </c>
      <c r="O73" s="5">
        <v>72</v>
      </c>
      <c r="P73" s="5">
        <v>196.7</v>
      </c>
      <c r="Q73" s="5">
        <v>3.89</v>
      </c>
      <c r="R73" s="5">
        <v>22.5</v>
      </c>
      <c r="S73" s="6">
        <v>40997</v>
      </c>
    </row>
    <row r="74" spans="1:19" x14ac:dyDescent="0.25">
      <c r="A74" s="3" t="s">
        <v>117</v>
      </c>
      <c r="B74" s="4" t="s">
        <v>122</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57</v>
      </c>
      <c r="L74" s="5">
        <v>15</v>
      </c>
      <c r="M74" s="5">
        <v>105.760458</v>
      </c>
      <c r="N74" s="5">
        <v>112.2</v>
      </c>
      <c r="O74" s="5">
        <v>76.400000000000006</v>
      </c>
      <c r="P74" s="5">
        <v>192.5</v>
      </c>
      <c r="Q74" s="5">
        <v>5.4009999999999998</v>
      </c>
      <c r="R74" s="5">
        <v>25.4</v>
      </c>
      <c r="S74" s="6">
        <v>41212</v>
      </c>
    </row>
    <row r="75" spans="1:19" x14ac:dyDescent="0.25">
      <c r="A75" s="3" t="s">
        <v>117</v>
      </c>
      <c r="B75" s="4" t="s">
        <v>123</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57</v>
      </c>
      <c r="L75" s="5">
        <v>21</v>
      </c>
      <c r="M75" s="5">
        <v>91.943801559999997</v>
      </c>
      <c r="N75" s="5">
        <v>103</v>
      </c>
      <c r="O75" s="5">
        <v>71.5</v>
      </c>
      <c r="P75" s="5">
        <v>180.1</v>
      </c>
      <c r="Q75" s="5">
        <v>3.9</v>
      </c>
      <c r="R75" s="5">
        <v>17.2</v>
      </c>
      <c r="S75" s="6">
        <v>40912</v>
      </c>
    </row>
    <row r="76" spans="1:19" x14ac:dyDescent="0.25">
      <c r="A76" s="3" t="s">
        <v>124</v>
      </c>
      <c r="B76" s="4" t="s">
        <v>125</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35</v>
      </c>
      <c r="L76" s="5">
        <v>22</v>
      </c>
      <c r="M76" s="5">
        <v>113.5402069</v>
      </c>
      <c r="N76" s="5">
        <v>109</v>
      </c>
      <c r="O76" s="5">
        <v>73.599999999999994</v>
      </c>
      <c r="P76" s="5">
        <v>208.5</v>
      </c>
      <c r="Q76" s="5">
        <v>3.8679999999999999</v>
      </c>
      <c r="R76" s="5">
        <v>20</v>
      </c>
      <c r="S76" s="6">
        <v>41124</v>
      </c>
    </row>
    <row r="77" spans="1:19" x14ac:dyDescent="0.25">
      <c r="A77" s="3" t="s">
        <v>124</v>
      </c>
      <c r="B77" s="4" t="s">
        <v>126</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35</v>
      </c>
      <c r="L77" s="5">
        <v>21</v>
      </c>
      <c r="M77" s="5">
        <v>93.957916900000001</v>
      </c>
      <c r="N77" s="5">
        <v>117.7</v>
      </c>
      <c r="O77" s="5">
        <v>78.2</v>
      </c>
      <c r="P77" s="5">
        <v>215.3</v>
      </c>
      <c r="Q77" s="5">
        <v>4.1210000000000004</v>
      </c>
      <c r="R77" s="5">
        <v>19</v>
      </c>
      <c r="S77" s="6">
        <v>41064</v>
      </c>
    </row>
    <row r="78" spans="1:19" x14ac:dyDescent="0.25">
      <c r="A78" s="3" t="s">
        <v>124</v>
      </c>
      <c r="B78" s="4" t="s">
        <v>127</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57</v>
      </c>
      <c r="L78" s="5">
        <v>15</v>
      </c>
      <c r="M78" s="5">
        <v>123.97204670000001</v>
      </c>
      <c r="N78" s="5">
        <v>119</v>
      </c>
      <c r="O78" s="5">
        <v>79.900000000000006</v>
      </c>
      <c r="P78" s="5">
        <v>204.8</v>
      </c>
      <c r="Q78" s="5">
        <v>5.3929999999999998</v>
      </c>
      <c r="R78" s="5">
        <v>30</v>
      </c>
      <c r="S78" s="6">
        <v>41266</v>
      </c>
    </row>
    <row r="79" spans="1:19" x14ac:dyDescent="0.25">
      <c r="A79" s="3" t="s">
        <v>128</v>
      </c>
      <c r="B79" s="4" t="s">
        <v>129</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35</v>
      </c>
      <c r="L79" s="5">
        <v>30</v>
      </c>
      <c r="M79" s="5">
        <v>45.832180559999998</v>
      </c>
      <c r="N79" s="5">
        <v>98.4</v>
      </c>
      <c r="O79" s="5">
        <v>66.5</v>
      </c>
      <c r="P79" s="5">
        <v>173.6</v>
      </c>
      <c r="Q79" s="5">
        <v>2.25</v>
      </c>
      <c r="R79" s="5">
        <v>13.2</v>
      </c>
      <c r="S79" s="6">
        <v>41022</v>
      </c>
    </row>
    <row r="80" spans="1:19" x14ac:dyDescent="0.25">
      <c r="A80" s="3" t="s">
        <v>128</v>
      </c>
      <c r="B80" s="4" t="s">
        <v>130</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35</v>
      </c>
      <c r="L80" s="5">
        <v>24</v>
      </c>
      <c r="M80" s="5">
        <v>62.441962349999997</v>
      </c>
      <c r="N80" s="5">
        <v>100.8</v>
      </c>
      <c r="O80" s="5">
        <v>68.900000000000006</v>
      </c>
      <c r="P80" s="5">
        <v>175.4</v>
      </c>
      <c r="Q80" s="5">
        <v>2.91</v>
      </c>
      <c r="R80" s="5">
        <v>15.9</v>
      </c>
      <c r="S80" s="6">
        <v>41237</v>
      </c>
    </row>
    <row r="81" spans="1:19" x14ac:dyDescent="0.25">
      <c r="A81" s="3" t="s">
        <v>128</v>
      </c>
      <c r="B81" s="4" t="s">
        <v>131</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35</v>
      </c>
      <c r="L81" s="5">
        <v>25</v>
      </c>
      <c r="M81" s="5">
        <v>58.606772919999997</v>
      </c>
      <c r="N81" s="5">
        <v>103.7</v>
      </c>
      <c r="O81" s="5">
        <v>68.5</v>
      </c>
      <c r="P81" s="5">
        <v>187.8</v>
      </c>
      <c r="Q81" s="5">
        <v>2.9449999999999998</v>
      </c>
      <c r="R81" s="5">
        <v>16.3</v>
      </c>
      <c r="S81" s="6">
        <v>40937</v>
      </c>
    </row>
    <row r="82" spans="1:19" x14ac:dyDescent="0.25">
      <c r="A82" s="3" t="s">
        <v>128</v>
      </c>
      <c r="B82" s="4" t="s">
        <v>132</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35</v>
      </c>
      <c r="L82" s="5">
        <v>22</v>
      </c>
      <c r="M82" s="5">
        <v>84.83077858</v>
      </c>
      <c r="N82" s="5">
        <v>107.1</v>
      </c>
      <c r="O82" s="5">
        <v>70.3</v>
      </c>
      <c r="P82" s="5">
        <v>194.1</v>
      </c>
      <c r="Q82" s="5">
        <v>3.4430000000000001</v>
      </c>
      <c r="R82" s="5">
        <v>19</v>
      </c>
      <c r="S82" s="6">
        <v>41149</v>
      </c>
    </row>
    <row r="83" spans="1:19" x14ac:dyDescent="0.25">
      <c r="A83" s="3" t="s">
        <v>128</v>
      </c>
      <c r="B83" s="4" t="s">
        <v>133</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35</v>
      </c>
      <c r="L83" s="5">
        <v>21</v>
      </c>
      <c r="M83" s="5">
        <v>67.544154939999999</v>
      </c>
      <c r="N83" s="5">
        <v>97.2</v>
      </c>
      <c r="O83" s="5">
        <v>72.400000000000006</v>
      </c>
      <c r="P83" s="5">
        <v>180.3</v>
      </c>
      <c r="Q83" s="5">
        <v>3.1309999999999998</v>
      </c>
      <c r="R83" s="5">
        <v>19.8</v>
      </c>
      <c r="S83" s="6">
        <v>41089</v>
      </c>
    </row>
    <row r="84" spans="1:19" x14ac:dyDescent="0.25">
      <c r="A84" s="3" t="s">
        <v>128</v>
      </c>
      <c r="B84" s="4" t="s">
        <v>134</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57</v>
      </c>
      <c r="L84" s="5">
        <v>18</v>
      </c>
      <c r="M84" s="5">
        <v>83.920815039999994</v>
      </c>
      <c r="N84" s="5">
        <v>107.3</v>
      </c>
      <c r="O84" s="5">
        <v>69.900000000000006</v>
      </c>
      <c r="P84" s="5">
        <v>186.6</v>
      </c>
      <c r="Q84" s="5">
        <v>4.5199999999999996</v>
      </c>
      <c r="R84" s="5">
        <v>24.3</v>
      </c>
      <c r="S84" s="6">
        <v>40925</v>
      </c>
    </row>
    <row r="85" spans="1:19" x14ac:dyDescent="0.25">
      <c r="A85" s="3" t="s">
        <v>128</v>
      </c>
      <c r="B85" s="4" t="s">
        <v>135</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57</v>
      </c>
      <c r="L85" s="5">
        <v>20</v>
      </c>
      <c r="M85" s="5">
        <v>70.660941789999995</v>
      </c>
      <c r="N85" s="5">
        <v>107.3</v>
      </c>
      <c r="O85" s="5">
        <v>66.7</v>
      </c>
      <c r="P85" s="5">
        <v>178.3</v>
      </c>
      <c r="Q85" s="5">
        <v>3.51</v>
      </c>
      <c r="R85" s="5">
        <v>19.5</v>
      </c>
      <c r="S85" s="6">
        <v>41047</v>
      </c>
    </row>
    <row r="86" spans="1:19" x14ac:dyDescent="0.25">
      <c r="A86" s="3" t="s">
        <v>136</v>
      </c>
      <c r="B86" s="4" t="s">
        <v>137</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35</v>
      </c>
      <c r="L86" s="5">
        <v>28</v>
      </c>
      <c r="M86" s="5">
        <v>50.997747609999998</v>
      </c>
      <c r="N86" s="5">
        <v>106.5</v>
      </c>
      <c r="O86" s="5">
        <v>69.099999999999994</v>
      </c>
      <c r="P86" s="5">
        <v>184.8</v>
      </c>
      <c r="Q86" s="5">
        <v>2.7690000000000001</v>
      </c>
      <c r="R86" s="5">
        <v>15</v>
      </c>
      <c r="S86" s="6">
        <v>41262</v>
      </c>
    </row>
    <row r="87" spans="1:19" x14ac:dyDescent="0.25">
      <c r="A87" s="3" t="s">
        <v>136</v>
      </c>
      <c r="B87" s="4" t="s">
        <v>138</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35</v>
      </c>
      <c r="L87" s="5">
        <v>30</v>
      </c>
      <c r="M87" s="5">
        <v>51.113474259999997</v>
      </c>
      <c r="N87" s="5">
        <v>106.4</v>
      </c>
      <c r="O87" s="5">
        <v>69.599999999999994</v>
      </c>
      <c r="P87" s="5">
        <v>185</v>
      </c>
      <c r="Q87" s="5">
        <v>2.8919999999999999</v>
      </c>
      <c r="R87" s="5">
        <v>16</v>
      </c>
      <c r="S87" s="6">
        <v>40962</v>
      </c>
    </row>
    <row r="88" spans="1:19" x14ac:dyDescent="0.25">
      <c r="A88" s="3" t="s">
        <v>136</v>
      </c>
      <c r="B88" s="4" t="s">
        <v>139</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35</v>
      </c>
      <c r="L88" s="5">
        <v>24</v>
      </c>
      <c r="M88" s="5">
        <v>62.239966629999998</v>
      </c>
      <c r="N88" s="5">
        <v>108.5</v>
      </c>
      <c r="O88" s="5">
        <v>73</v>
      </c>
      <c r="P88" s="5">
        <v>199.7</v>
      </c>
      <c r="Q88" s="5">
        <v>3.379</v>
      </c>
      <c r="R88" s="5">
        <v>16</v>
      </c>
      <c r="S88" s="6">
        <v>41174</v>
      </c>
    </row>
    <row r="89" spans="1:19" x14ac:dyDescent="0.25">
      <c r="A89" s="3" t="s">
        <v>136</v>
      </c>
      <c r="B89" s="4" t="s">
        <v>140</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35</v>
      </c>
      <c r="L89" s="5">
        <v>21</v>
      </c>
      <c r="M89" s="5">
        <v>80.657696459999997</v>
      </c>
      <c r="N89" s="5">
        <v>114.7</v>
      </c>
      <c r="O89" s="5">
        <v>78.2</v>
      </c>
      <c r="P89" s="5">
        <v>212</v>
      </c>
      <c r="Q89" s="5">
        <v>3.9580000000000002</v>
      </c>
      <c r="R89" s="5">
        <v>19</v>
      </c>
      <c r="S89" s="6">
        <v>41114</v>
      </c>
    </row>
    <row r="90" spans="1:19" x14ac:dyDescent="0.25">
      <c r="A90" s="3" t="s">
        <v>136</v>
      </c>
      <c r="B90" s="4" t="s">
        <v>141</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57</v>
      </c>
      <c r="L90" s="5">
        <v>18</v>
      </c>
      <c r="M90" s="5">
        <v>85.949744249999995</v>
      </c>
      <c r="N90" s="5">
        <v>111.6</v>
      </c>
      <c r="O90" s="5">
        <v>70.2</v>
      </c>
      <c r="P90" s="5">
        <v>190.1</v>
      </c>
      <c r="Q90" s="5">
        <v>3.8759999999999999</v>
      </c>
      <c r="R90" s="5">
        <v>21</v>
      </c>
      <c r="S90" s="6">
        <v>39491</v>
      </c>
    </row>
    <row r="91" spans="1:19" x14ac:dyDescent="0.25">
      <c r="A91" s="3" t="s">
        <v>136</v>
      </c>
      <c r="B91" s="4" t="s">
        <v>142</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57</v>
      </c>
      <c r="L91" s="5">
        <v>21</v>
      </c>
      <c r="M91" s="5">
        <v>69.671460999999994</v>
      </c>
      <c r="N91" s="5">
        <v>112.2</v>
      </c>
      <c r="O91" s="5">
        <v>74.900000000000006</v>
      </c>
      <c r="P91" s="5">
        <v>194.7</v>
      </c>
      <c r="Q91" s="5">
        <v>3.944</v>
      </c>
      <c r="R91" s="5">
        <v>20</v>
      </c>
      <c r="S91" s="6">
        <v>40106</v>
      </c>
    </row>
    <row r="92" spans="1:19" x14ac:dyDescent="0.25">
      <c r="A92" s="3" t="s">
        <v>143</v>
      </c>
      <c r="B92" s="4" t="s">
        <v>144</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35</v>
      </c>
      <c r="L92" s="5">
        <v>26</v>
      </c>
      <c r="M92" s="5">
        <v>78.280730879999993</v>
      </c>
      <c r="N92" s="5">
        <v>105.9</v>
      </c>
      <c r="O92" s="5">
        <v>67.7</v>
      </c>
      <c r="P92" s="5">
        <v>177.4</v>
      </c>
      <c r="Q92" s="5">
        <v>3.25</v>
      </c>
      <c r="R92" s="5">
        <v>16.399999999999999</v>
      </c>
      <c r="S92" s="6">
        <v>40657</v>
      </c>
    </row>
    <row r="93" spans="1:19" x14ac:dyDescent="0.25">
      <c r="A93" s="3" t="s">
        <v>143</v>
      </c>
      <c r="B93" s="4" t="s">
        <v>145</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35</v>
      </c>
      <c r="L93" s="5">
        <v>25</v>
      </c>
      <c r="M93" s="5">
        <v>98.249737499999995</v>
      </c>
      <c r="N93" s="5">
        <v>111.5</v>
      </c>
      <c r="O93" s="5">
        <v>70.8</v>
      </c>
      <c r="P93" s="5">
        <v>189.4</v>
      </c>
      <c r="Q93" s="5">
        <v>3.823</v>
      </c>
      <c r="R93" s="5">
        <v>21.1</v>
      </c>
      <c r="S93" s="6">
        <v>40736</v>
      </c>
    </row>
    <row r="94" spans="1:19" x14ac:dyDescent="0.25">
      <c r="A94" s="3" t="s">
        <v>143</v>
      </c>
      <c r="B94" s="4" t="s">
        <v>146</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35</v>
      </c>
      <c r="L94" s="5">
        <v>21</v>
      </c>
      <c r="M94" s="5">
        <v>125.2738757</v>
      </c>
      <c r="N94" s="5">
        <v>121.5</v>
      </c>
      <c r="O94" s="5">
        <v>73.099999999999994</v>
      </c>
      <c r="P94" s="5">
        <v>203.1</v>
      </c>
      <c r="Q94" s="5">
        <v>4.133</v>
      </c>
      <c r="R94" s="5">
        <v>23.2</v>
      </c>
      <c r="S94" s="6">
        <v>40707</v>
      </c>
    </row>
    <row r="95" spans="1:19" x14ac:dyDescent="0.25">
      <c r="A95" s="3" t="s">
        <v>143</v>
      </c>
      <c r="B95" s="4" t="s">
        <v>147</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35</v>
      </c>
      <c r="L95" s="5">
        <v>20</v>
      </c>
      <c r="M95" s="5">
        <v>139.98229359999999</v>
      </c>
      <c r="N95" s="5">
        <v>99</v>
      </c>
      <c r="O95" s="5">
        <v>71.3</v>
      </c>
      <c r="P95" s="5">
        <v>177.1</v>
      </c>
      <c r="Q95" s="5">
        <v>4.125</v>
      </c>
      <c r="R95" s="5">
        <v>21.1</v>
      </c>
      <c r="S95" s="6">
        <v>40619</v>
      </c>
    </row>
    <row r="96" spans="1:19" x14ac:dyDescent="0.25">
      <c r="A96" s="3" t="s">
        <v>143</v>
      </c>
      <c r="B96" s="4" t="s">
        <v>148</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35</v>
      </c>
      <c r="L96" s="5">
        <v>26</v>
      </c>
      <c r="M96" s="5">
        <v>82.807361929999999</v>
      </c>
      <c r="N96" s="5">
        <v>94.5</v>
      </c>
      <c r="O96" s="5">
        <v>67.5</v>
      </c>
      <c r="P96" s="5">
        <v>157.9</v>
      </c>
      <c r="Q96" s="5">
        <v>3.0550000000000002</v>
      </c>
      <c r="R96" s="5">
        <v>15.9</v>
      </c>
      <c r="S96" s="6">
        <v>40559</v>
      </c>
    </row>
    <row r="97" spans="1:19" x14ac:dyDescent="0.25">
      <c r="A97" s="3" t="s">
        <v>143</v>
      </c>
      <c r="B97" s="4" t="s">
        <v>149</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35</v>
      </c>
      <c r="L97" s="5">
        <v>27</v>
      </c>
      <c r="M97" s="5">
        <v>81.848969240000002</v>
      </c>
      <c r="N97" s="5">
        <v>94.5</v>
      </c>
      <c r="O97" s="5">
        <v>67.5</v>
      </c>
      <c r="P97" s="5">
        <v>157.30000000000001</v>
      </c>
      <c r="Q97" s="5">
        <v>2.9750000000000001</v>
      </c>
      <c r="R97" s="5">
        <v>14</v>
      </c>
      <c r="S97" s="6">
        <v>40761</v>
      </c>
    </row>
    <row r="98" spans="1:19" x14ac:dyDescent="0.25">
      <c r="A98" s="3" t="s">
        <v>143</v>
      </c>
      <c r="B98" s="4" t="s">
        <v>150</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35</v>
      </c>
      <c r="L98" s="5">
        <v>26</v>
      </c>
      <c r="M98" s="5">
        <v>92.925791770000004</v>
      </c>
      <c r="N98" s="5">
        <v>105.9</v>
      </c>
      <c r="O98" s="5">
        <v>67.8</v>
      </c>
      <c r="P98" s="5">
        <v>180.3</v>
      </c>
      <c r="Q98" s="5">
        <v>3.2130000000000001</v>
      </c>
      <c r="R98" s="5">
        <v>16.399999999999999</v>
      </c>
      <c r="S98" s="6">
        <v>40732</v>
      </c>
    </row>
    <row r="99" spans="1:19" x14ac:dyDescent="0.25">
      <c r="A99" s="3" t="s">
        <v>143</v>
      </c>
      <c r="B99" s="4" t="s">
        <v>151</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35</v>
      </c>
      <c r="L99" s="5">
        <v>20</v>
      </c>
      <c r="M99" s="5">
        <v>141.10098450000001</v>
      </c>
      <c r="N99" s="5">
        <v>113.6</v>
      </c>
      <c r="O99" s="5">
        <v>73.099999999999994</v>
      </c>
      <c r="P99" s="5">
        <v>196.6</v>
      </c>
      <c r="Q99" s="5">
        <v>4.1150000000000002</v>
      </c>
      <c r="R99" s="5">
        <v>23.2</v>
      </c>
      <c r="S99" s="6">
        <v>40644</v>
      </c>
    </row>
    <row r="100" spans="1:19" x14ac:dyDescent="0.25">
      <c r="A100" s="3" t="s">
        <v>143</v>
      </c>
      <c r="B100" s="4" t="s">
        <v>152</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57</v>
      </c>
      <c r="L100" s="5">
        <v>20</v>
      </c>
      <c r="M100" s="5">
        <v>90.495532130000001</v>
      </c>
      <c r="N100" s="5">
        <v>111</v>
      </c>
      <c r="O100" s="5">
        <v>72.2</v>
      </c>
      <c r="P100" s="5">
        <v>180.6</v>
      </c>
      <c r="Q100" s="5">
        <v>4.3869999999999996</v>
      </c>
      <c r="R100" s="5">
        <v>19</v>
      </c>
      <c r="S100" s="6">
        <v>40584</v>
      </c>
    </row>
    <row r="101" spans="1:19" x14ac:dyDescent="0.25">
      <c r="A101" s="3" t="s">
        <v>153</v>
      </c>
      <c r="B101" s="4" t="s">
        <v>154</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35</v>
      </c>
      <c r="L101" s="5">
        <v>30</v>
      </c>
      <c r="M101" s="5">
        <v>50.241977910000003</v>
      </c>
      <c r="N101" s="5">
        <v>99.8</v>
      </c>
      <c r="O101" s="5">
        <v>67.3</v>
      </c>
      <c r="P101" s="5">
        <v>177.5</v>
      </c>
      <c r="Q101" s="5">
        <v>2.593</v>
      </c>
      <c r="R101" s="5">
        <v>13.2</v>
      </c>
      <c r="S101" s="6">
        <v>40786</v>
      </c>
    </row>
    <row r="102" spans="1:19" x14ac:dyDescent="0.25">
      <c r="A102" s="3" t="s">
        <v>153</v>
      </c>
      <c r="B102" s="4" t="s">
        <v>155</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35</v>
      </c>
      <c r="L102" s="5">
        <v>25</v>
      </c>
      <c r="M102" s="5">
        <v>63.313727829999998</v>
      </c>
      <c r="N102" s="5">
        <v>103.1</v>
      </c>
      <c r="O102" s="5">
        <v>69.099999999999994</v>
      </c>
      <c r="P102" s="5">
        <v>183.5</v>
      </c>
      <c r="Q102" s="5">
        <v>3.012</v>
      </c>
      <c r="R102" s="5">
        <v>15.9</v>
      </c>
      <c r="S102" s="6">
        <v>40757</v>
      </c>
    </row>
    <row r="103" spans="1:19" x14ac:dyDescent="0.25">
      <c r="A103" s="3" t="s">
        <v>153</v>
      </c>
      <c r="B103" s="4" t="s">
        <v>156</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35</v>
      </c>
      <c r="L103" s="5">
        <v>25</v>
      </c>
      <c r="M103" s="5">
        <v>89.427820310000001</v>
      </c>
      <c r="N103" s="5">
        <v>108.3</v>
      </c>
      <c r="O103" s="5">
        <v>70.3</v>
      </c>
      <c r="P103" s="5">
        <v>190.5</v>
      </c>
      <c r="Q103" s="5">
        <v>3.294</v>
      </c>
      <c r="R103" s="5">
        <v>18.5</v>
      </c>
      <c r="S103" s="6">
        <v>40669</v>
      </c>
    </row>
    <row r="104" spans="1:19" x14ac:dyDescent="0.25">
      <c r="A104" s="3" t="s">
        <v>153</v>
      </c>
      <c r="B104" s="4" t="s">
        <v>157</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57</v>
      </c>
      <c r="L104" s="5">
        <v>21</v>
      </c>
      <c r="M104" s="5">
        <v>71.171664129999996</v>
      </c>
      <c r="N104" s="5">
        <v>112.2</v>
      </c>
      <c r="O104" s="5">
        <v>74.900000000000006</v>
      </c>
      <c r="P104" s="5">
        <v>194.8</v>
      </c>
      <c r="Q104" s="5">
        <v>3.9910000000000001</v>
      </c>
      <c r="R104" s="5">
        <v>20</v>
      </c>
      <c r="S104" s="6">
        <v>40609</v>
      </c>
    </row>
    <row r="105" spans="1:19" x14ac:dyDescent="0.25">
      <c r="A105" s="3" t="s">
        <v>153</v>
      </c>
      <c r="B105" s="4" t="s">
        <v>158</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57</v>
      </c>
      <c r="L105" s="5">
        <v>19</v>
      </c>
      <c r="M105" s="5">
        <v>72.290355079999998</v>
      </c>
      <c r="N105" s="5">
        <v>106.3</v>
      </c>
      <c r="O105" s="5">
        <v>71.7</v>
      </c>
      <c r="P105" s="5">
        <v>182.6</v>
      </c>
      <c r="Q105" s="5">
        <v>3.9470000000000001</v>
      </c>
      <c r="R105" s="5">
        <v>21</v>
      </c>
      <c r="S105" s="6">
        <v>40811</v>
      </c>
    </row>
    <row r="106" spans="1:19" x14ac:dyDescent="0.25">
      <c r="A106" s="3" t="s">
        <v>153</v>
      </c>
      <c r="B106" s="4" t="s">
        <v>159</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57</v>
      </c>
      <c r="L106" s="5">
        <v>18</v>
      </c>
      <c r="M106" s="5">
        <v>69.78294434</v>
      </c>
      <c r="N106" s="5">
        <v>104.3</v>
      </c>
      <c r="O106" s="5">
        <v>70.400000000000006</v>
      </c>
      <c r="P106" s="5">
        <v>178</v>
      </c>
      <c r="Q106" s="5">
        <v>3.8210000000000002</v>
      </c>
      <c r="R106" s="5">
        <v>19.399999999999999</v>
      </c>
      <c r="S106" s="6">
        <v>40567</v>
      </c>
    </row>
    <row r="107" spans="1:19" x14ac:dyDescent="0.25">
      <c r="A107" s="3" t="s">
        <v>153</v>
      </c>
      <c r="B107" s="4" t="s">
        <v>160</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57</v>
      </c>
      <c r="L107" s="5">
        <v>18</v>
      </c>
      <c r="M107" s="5">
        <v>67.889270589999995</v>
      </c>
      <c r="N107" s="5">
        <v>116.1</v>
      </c>
      <c r="O107" s="5">
        <v>66.5</v>
      </c>
      <c r="P107" s="5">
        <v>196.1</v>
      </c>
      <c r="Q107" s="5">
        <v>3.2170000000000001</v>
      </c>
      <c r="R107" s="5">
        <v>19.399999999999999</v>
      </c>
      <c r="S107" s="6">
        <v>40782</v>
      </c>
    </row>
    <row r="108" spans="1:19" x14ac:dyDescent="0.25">
      <c r="A108" s="3" t="s">
        <v>161</v>
      </c>
      <c r="B108" s="4" t="s">
        <v>162</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35</v>
      </c>
      <c r="L108" s="5">
        <v>25</v>
      </c>
      <c r="M108" s="5">
        <v>60.861611549999999</v>
      </c>
      <c r="N108" s="5">
        <v>107</v>
      </c>
      <c r="O108" s="5">
        <v>69.400000000000006</v>
      </c>
      <c r="P108" s="5">
        <v>192</v>
      </c>
      <c r="Q108" s="5">
        <v>3.1019999999999999</v>
      </c>
      <c r="R108" s="5">
        <v>15.2</v>
      </c>
      <c r="S108" s="6">
        <v>40694</v>
      </c>
    </row>
    <row r="109" spans="1:19" x14ac:dyDescent="0.25">
      <c r="A109" s="3" t="s">
        <v>161</v>
      </c>
      <c r="B109" s="4" t="s">
        <v>163</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35</v>
      </c>
      <c r="L109" s="5">
        <v>23</v>
      </c>
      <c r="M109" s="5">
        <v>86.272522910000006</v>
      </c>
      <c r="N109" s="5">
        <v>109</v>
      </c>
      <c r="O109" s="5">
        <v>73.599999999999994</v>
      </c>
      <c r="P109" s="5">
        <v>195.9</v>
      </c>
      <c r="Q109" s="5">
        <v>3.4550000000000001</v>
      </c>
      <c r="R109" s="5">
        <v>18</v>
      </c>
      <c r="S109" s="6">
        <v>40634</v>
      </c>
    </row>
    <row r="110" spans="1:19" x14ac:dyDescent="0.25">
      <c r="A110" s="3" t="s">
        <v>161</v>
      </c>
      <c r="B110" s="4" t="s">
        <v>164</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35</v>
      </c>
      <c r="L110" s="5">
        <v>27</v>
      </c>
      <c r="M110" s="5">
        <v>60.727446929999999</v>
      </c>
      <c r="N110" s="5">
        <v>107</v>
      </c>
      <c r="O110" s="5">
        <v>70.099999999999994</v>
      </c>
      <c r="P110" s="5">
        <v>186.7</v>
      </c>
      <c r="Q110" s="5">
        <v>2.9580000000000002</v>
      </c>
      <c r="R110" s="5">
        <v>15</v>
      </c>
      <c r="S110" s="6">
        <v>40106</v>
      </c>
    </row>
    <row r="111" spans="1:19" x14ac:dyDescent="0.25">
      <c r="A111" s="3" t="s">
        <v>161</v>
      </c>
      <c r="B111" s="4" t="s">
        <v>165</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35</v>
      </c>
      <c r="L111" s="5">
        <v>22</v>
      </c>
      <c r="M111" s="5">
        <v>103.4416926</v>
      </c>
      <c r="N111" s="5">
        <v>113.8</v>
      </c>
      <c r="O111" s="5">
        <v>74.400000000000006</v>
      </c>
      <c r="P111" s="5">
        <v>205.4</v>
      </c>
      <c r="Q111" s="5">
        <v>3.9670000000000001</v>
      </c>
      <c r="R111" s="5">
        <v>18.5</v>
      </c>
      <c r="S111" s="6">
        <v>40592</v>
      </c>
    </row>
    <row r="112" spans="1:19" x14ac:dyDescent="0.25">
      <c r="A112" s="3" t="s">
        <v>161</v>
      </c>
      <c r="B112" s="4" t="s">
        <v>166</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57</v>
      </c>
      <c r="L112" s="5">
        <v>19</v>
      </c>
      <c r="M112" s="5">
        <v>80.511672590000003</v>
      </c>
      <c r="N112" s="5">
        <v>107</v>
      </c>
      <c r="O112" s="5">
        <v>67.8</v>
      </c>
      <c r="P112" s="5">
        <v>181.2</v>
      </c>
      <c r="Q112" s="5">
        <v>4.0679999999999996</v>
      </c>
      <c r="R112" s="5">
        <v>17.5</v>
      </c>
      <c r="S112" s="6">
        <v>40807</v>
      </c>
    </row>
    <row r="113" spans="1:19" x14ac:dyDescent="0.25">
      <c r="A113" s="3" t="s">
        <v>161</v>
      </c>
      <c r="B113" s="4" t="s">
        <v>167</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57</v>
      </c>
      <c r="L113" s="5">
        <v>22</v>
      </c>
      <c r="M113" s="5">
        <v>76.096570420000006</v>
      </c>
      <c r="N113" s="5">
        <v>120</v>
      </c>
      <c r="O113" s="5">
        <v>72.2</v>
      </c>
      <c r="P113" s="5">
        <v>201.4</v>
      </c>
      <c r="Q113" s="5">
        <v>3.948</v>
      </c>
      <c r="R113" s="5">
        <v>25</v>
      </c>
      <c r="S113" s="6">
        <v>40719</v>
      </c>
    </row>
    <row r="114" spans="1:19" x14ac:dyDescent="0.25">
      <c r="A114" s="3" t="s">
        <v>168</v>
      </c>
      <c r="B114" s="4" t="s">
        <v>76</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35</v>
      </c>
      <c r="L114" s="5">
        <v>29</v>
      </c>
      <c r="M114" s="5">
        <v>52.084898750000001</v>
      </c>
      <c r="N114" s="5">
        <v>105</v>
      </c>
      <c r="O114" s="5">
        <v>74.400000000000006</v>
      </c>
      <c r="P114" s="5">
        <v>174.4</v>
      </c>
      <c r="Q114" s="5">
        <v>2.5590000000000002</v>
      </c>
      <c r="R114" s="5">
        <v>12.5</v>
      </c>
      <c r="S114" s="6">
        <v>40659</v>
      </c>
    </row>
    <row r="115" spans="1:19" x14ac:dyDescent="0.25">
      <c r="A115" s="3" t="s">
        <v>168</v>
      </c>
      <c r="B115" s="4" t="s">
        <v>169</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35</v>
      </c>
      <c r="L115" s="5">
        <v>27</v>
      </c>
      <c r="M115" s="5">
        <v>53.411897670000002</v>
      </c>
      <c r="N115" s="5">
        <v>108</v>
      </c>
      <c r="O115" s="5">
        <v>71</v>
      </c>
      <c r="P115" s="5">
        <v>186.3</v>
      </c>
      <c r="Q115" s="5">
        <v>2.9420000000000002</v>
      </c>
      <c r="R115" s="5">
        <v>16</v>
      </c>
      <c r="S115" s="6">
        <v>40861</v>
      </c>
    </row>
    <row r="116" spans="1:19" x14ac:dyDescent="0.25">
      <c r="A116" s="3" t="s">
        <v>168</v>
      </c>
      <c r="B116" s="4" t="s">
        <v>170</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57</v>
      </c>
      <c r="L116" s="5">
        <v>24</v>
      </c>
      <c r="M116" s="5">
        <v>60.951185119999998</v>
      </c>
      <c r="N116" s="5">
        <v>113.3</v>
      </c>
      <c r="O116" s="5">
        <v>76.8</v>
      </c>
      <c r="P116" s="5">
        <v>186.3</v>
      </c>
      <c r="Q116" s="5">
        <v>3.528</v>
      </c>
      <c r="R116" s="5">
        <v>20</v>
      </c>
      <c r="S116" s="6">
        <v>40657</v>
      </c>
    </row>
    <row r="117" spans="1:19" x14ac:dyDescent="0.25">
      <c r="A117" s="3" t="s">
        <v>168</v>
      </c>
      <c r="B117" s="4" t="s">
        <v>171</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35</v>
      </c>
      <c r="L117" s="5">
        <v>21</v>
      </c>
      <c r="M117" s="5">
        <v>106.98445630000001</v>
      </c>
      <c r="N117" s="5">
        <v>113.3</v>
      </c>
      <c r="O117" s="5">
        <v>76.3</v>
      </c>
      <c r="P117" s="5">
        <v>165.4</v>
      </c>
      <c r="Q117" s="5">
        <v>2.85</v>
      </c>
      <c r="R117" s="5">
        <v>12</v>
      </c>
      <c r="S117" s="6">
        <v>41087</v>
      </c>
    </row>
    <row r="118" spans="1:19" x14ac:dyDescent="0.25">
      <c r="A118" s="3" t="s">
        <v>172</v>
      </c>
      <c r="B118" s="4" t="s">
        <v>173</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35</v>
      </c>
      <c r="L118" s="5">
        <v>27</v>
      </c>
      <c r="M118" s="5">
        <v>62.015870300000003</v>
      </c>
      <c r="N118" s="5">
        <v>104.1</v>
      </c>
      <c r="O118" s="5">
        <v>68.400000000000006</v>
      </c>
      <c r="P118" s="5">
        <v>181.9</v>
      </c>
      <c r="Q118" s="5">
        <v>2.9060000000000001</v>
      </c>
      <c r="R118" s="5">
        <v>15</v>
      </c>
      <c r="S118" s="6">
        <v>40933</v>
      </c>
    </row>
    <row r="119" spans="1:19" x14ac:dyDescent="0.25">
      <c r="A119" s="3" t="s">
        <v>172</v>
      </c>
      <c r="B119" s="4" t="s">
        <v>174</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35</v>
      </c>
      <c r="L119" s="5">
        <v>25</v>
      </c>
      <c r="M119" s="5">
        <v>70.389737260000004</v>
      </c>
      <c r="N119" s="5">
        <v>107</v>
      </c>
      <c r="O119" s="5">
        <v>70.400000000000006</v>
      </c>
      <c r="P119" s="5">
        <v>186.3</v>
      </c>
      <c r="Q119" s="5">
        <v>3.0910000000000002</v>
      </c>
      <c r="R119" s="5">
        <v>15.2</v>
      </c>
      <c r="S119" s="6">
        <v>41239</v>
      </c>
    </row>
    <row r="120" spans="1:19" x14ac:dyDescent="0.25">
      <c r="A120" s="3" t="s">
        <v>172</v>
      </c>
      <c r="B120" s="4" t="s">
        <v>175</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35</v>
      </c>
      <c r="L120" s="5">
        <v>25</v>
      </c>
      <c r="M120" s="5">
        <v>81.492726160000004</v>
      </c>
      <c r="N120" s="5">
        <v>101.1</v>
      </c>
      <c r="O120" s="5">
        <v>74.5</v>
      </c>
      <c r="P120" s="5">
        <v>193.4</v>
      </c>
      <c r="Q120" s="5">
        <v>3.492</v>
      </c>
      <c r="R120" s="5">
        <v>16.8</v>
      </c>
      <c r="S120" s="6">
        <v>41076</v>
      </c>
    </row>
    <row r="121" spans="1:19" x14ac:dyDescent="0.25">
      <c r="A121" s="3" t="s">
        <v>172</v>
      </c>
      <c r="B121" s="4" t="s">
        <v>176</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35</v>
      </c>
      <c r="L121" s="5">
        <v>25</v>
      </c>
      <c r="M121" s="5">
        <v>78.318168130000004</v>
      </c>
      <c r="N121" s="5">
        <v>110.5</v>
      </c>
      <c r="O121" s="5">
        <v>72.7</v>
      </c>
      <c r="P121" s="5">
        <v>196.5</v>
      </c>
      <c r="Q121" s="5">
        <v>3.3959999999999999</v>
      </c>
      <c r="R121" s="5">
        <v>18</v>
      </c>
      <c r="S121" s="6">
        <v>41197</v>
      </c>
    </row>
    <row r="122" spans="1:19" x14ac:dyDescent="0.25">
      <c r="A122" s="3" t="s">
        <v>172</v>
      </c>
      <c r="B122" s="4" t="s">
        <v>177</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35</v>
      </c>
      <c r="L122" s="5">
        <v>24</v>
      </c>
      <c r="M122" s="5">
        <v>82.661355599999993</v>
      </c>
      <c r="N122" s="5">
        <v>112.2</v>
      </c>
      <c r="O122" s="5">
        <v>72.599999999999994</v>
      </c>
      <c r="P122" s="5">
        <v>202.5</v>
      </c>
      <c r="Q122" s="5">
        <v>3.59</v>
      </c>
      <c r="R122" s="5">
        <v>17.5</v>
      </c>
      <c r="S122" s="6">
        <v>40681</v>
      </c>
    </row>
    <row r="123" spans="1:19" x14ac:dyDescent="0.25">
      <c r="A123" s="3" t="s">
        <v>172</v>
      </c>
      <c r="B123" s="4" t="s">
        <v>178</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57</v>
      </c>
      <c r="L123" s="5">
        <v>23</v>
      </c>
      <c r="M123" s="5">
        <v>76.208439519999999</v>
      </c>
      <c r="N123" s="5">
        <v>120</v>
      </c>
      <c r="O123" s="5">
        <v>72.7</v>
      </c>
      <c r="P123" s="5">
        <v>201.3</v>
      </c>
      <c r="Q123" s="5">
        <v>3.9420000000000002</v>
      </c>
      <c r="R123" s="5">
        <v>25</v>
      </c>
      <c r="S123" s="6">
        <v>41112</v>
      </c>
    </row>
    <row r="124" spans="1:19" x14ac:dyDescent="0.25">
      <c r="A124" s="3" t="s">
        <v>179</v>
      </c>
      <c r="B124" s="4" t="s">
        <v>180</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35</v>
      </c>
      <c r="L124" s="5">
        <v>22</v>
      </c>
      <c r="M124" s="5">
        <v>93.437330700000004</v>
      </c>
      <c r="N124" s="5">
        <v>95.2</v>
      </c>
      <c r="O124" s="5">
        <v>70.099999999999994</v>
      </c>
      <c r="P124" s="5">
        <v>171</v>
      </c>
      <c r="Q124" s="5">
        <v>2.778</v>
      </c>
      <c r="R124" s="5">
        <v>17</v>
      </c>
      <c r="S124" s="6">
        <v>40958</v>
      </c>
    </row>
    <row r="125" spans="1:19" x14ac:dyDescent="0.25">
      <c r="A125" s="3" t="s">
        <v>179</v>
      </c>
      <c r="B125" s="4" t="s">
        <v>181</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35</v>
      </c>
      <c r="L125" s="5">
        <v>21</v>
      </c>
      <c r="M125" s="5">
        <v>134.3909754</v>
      </c>
      <c r="N125" s="5">
        <v>92.6</v>
      </c>
      <c r="O125" s="5">
        <v>69.5</v>
      </c>
      <c r="P125" s="5">
        <v>174.5</v>
      </c>
      <c r="Q125" s="5">
        <v>3.032</v>
      </c>
      <c r="R125" s="5">
        <v>17</v>
      </c>
      <c r="S125" s="6">
        <v>41264</v>
      </c>
    </row>
    <row r="126" spans="1:19" x14ac:dyDescent="0.25">
      <c r="A126" s="3" t="s">
        <v>179</v>
      </c>
      <c r="B126" s="4" t="s">
        <v>182</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35</v>
      </c>
      <c r="L126" s="5">
        <v>23</v>
      </c>
      <c r="M126" s="5">
        <v>135.91470960000001</v>
      </c>
      <c r="N126" s="5">
        <v>92.6</v>
      </c>
      <c r="O126" s="5">
        <v>69.5</v>
      </c>
      <c r="P126" s="5">
        <v>174.5</v>
      </c>
      <c r="Q126" s="5">
        <v>3.0750000000000002</v>
      </c>
      <c r="R126" s="5">
        <v>17</v>
      </c>
      <c r="S126" s="6">
        <v>40735</v>
      </c>
    </row>
    <row r="127" spans="1:19" x14ac:dyDescent="0.25">
      <c r="A127" s="3" t="s">
        <v>183</v>
      </c>
      <c r="B127" s="7" t="s">
        <v>184</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35</v>
      </c>
      <c r="L127" s="5">
        <v>23</v>
      </c>
      <c r="M127" s="5">
        <v>73.503778190000006</v>
      </c>
      <c r="N127" s="5">
        <v>106.4</v>
      </c>
      <c r="O127" s="5">
        <v>70.599999999999994</v>
      </c>
      <c r="P127" s="5">
        <v>189.2</v>
      </c>
      <c r="Q127" s="5">
        <v>3.28</v>
      </c>
      <c r="R127" s="5">
        <v>18.5</v>
      </c>
      <c r="S127" s="6">
        <v>41222</v>
      </c>
    </row>
    <row r="128" spans="1:19" x14ac:dyDescent="0.25">
      <c r="A128" s="3" t="s">
        <v>183</v>
      </c>
      <c r="B128" s="7" t="s">
        <v>185</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35</v>
      </c>
      <c r="L128" s="5">
        <v>23</v>
      </c>
      <c r="M128" s="5">
        <v>76.02304771</v>
      </c>
      <c r="N128" s="5">
        <v>102.6</v>
      </c>
      <c r="O128" s="5">
        <v>67.400000000000006</v>
      </c>
      <c r="P128" s="5">
        <v>182.2</v>
      </c>
      <c r="Q128" s="5">
        <v>2.99</v>
      </c>
      <c r="R128" s="5">
        <v>16.899999999999999</v>
      </c>
      <c r="S128" s="6">
        <v>40706</v>
      </c>
    </row>
    <row r="129" spans="1:19" x14ac:dyDescent="0.25">
      <c r="A129" s="3" t="s">
        <v>186</v>
      </c>
      <c r="B129" s="4" t="s">
        <v>187</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35</v>
      </c>
      <c r="L129" s="5">
        <v>33</v>
      </c>
      <c r="M129" s="5">
        <v>39.986424749999998</v>
      </c>
      <c r="N129" s="5">
        <v>102.4</v>
      </c>
      <c r="O129" s="5">
        <v>66.400000000000006</v>
      </c>
      <c r="P129" s="5">
        <v>176.9</v>
      </c>
      <c r="Q129" s="5">
        <v>2.3319999999999999</v>
      </c>
      <c r="R129" s="5">
        <v>12.1</v>
      </c>
      <c r="S129" s="6">
        <v>41137</v>
      </c>
    </row>
    <row r="130" spans="1:19" x14ac:dyDescent="0.25">
      <c r="A130" s="3" t="s">
        <v>186</v>
      </c>
      <c r="B130" s="4" t="s">
        <v>188</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35</v>
      </c>
      <c r="L130" s="5">
        <v>33</v>
      </c>
      <c r="M130" s="5">
        <v>40.700072419999998</v>
      </c>
      <c r="N130" s="5">
        <v>102.4</v>
      </c>
      <c r="O130" s="5">
        <v>66.400000000000006</v>
      </c>
      <c r="P130" s="5">
        <v>180</v>
      </c>
      <c r="Q130" s="5">
        <v>2.367</v>
      </c>
      <c r="R130" s="5">
        <v>12.1</v>
      </c>
      <c r="S130" s="6">
        <v>40618</v>
      </c>
    </row>
    <row r="131" spans="1:19" x14ac:dyDescent="0.25">
      <c r="A131" s="3" t="s">
        <v>186</v>
      </c>
      <c r="B131" s="4" t="s">
        <v>189</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35</v>
      </c>
      <c r="L131" s="5">
        <v>31</v>
      </c>
      <c r="M131" s="5">
        <v>49.865773670000003</v>
      </c>
      <c r="N131" s="5">
        <v>102.4</v>
      </c>
      <c r="O131" s="5">
        <v>66.400000000000006</v>
      </c>
      <c r="P131" s="5">
        <v>176.9</v>
      </c>
      <c r="Q131" s="5">
        <v>2.452</v>
      </c>
      <c r="R131" s="5">
        <v>12.1</v>
      </c>
      <c r="S131" s="6">
        <v>40558</v>
      </c>
    </row>
    <row r="132" spans="1:19" x14ac:dyDescent="0.25">
      <c r="A132" s="3" t="s">
        <v>186</v>
      </c>
      <c r="B132" s="4" t="s">
        <v>190</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35</v>
      </c>
      <c r="L132" s="5">
        <v>27</v>
      </c>
      <c r="M132" s="5">
        <v>56.295243040000003</v>
      </c>
      <c r="N132" s="5">
        <v>106.5</v>
      </c>
      <c r="O132" s="5">
        <v>69</v>
      </c>
      <c r="P132" s="5">
        <v>190.4</v>
      </c>
      <c r="Q132" s="5">
        <v>3.0750000000000002</v>
      </c>
      <c r="R132" s="5">
        <v>13.1</v>
      </c>
      <c r="S132" s="6">
        <v>40760</v>
      </c>
    </row>
    <row r="133" spans="1:19" x14ac:dyDescent="0.25">
      <c r="A133" s="3" t="s">
        <v>186</v>
      </c>
      <c r="B133" s="4" t="s">
        <v>191</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35</v>
      </c>
      <c r="L133" s="5">
        <v>28</v>
      </c>
      <c r="M133" s="5">
        <v>54.819728249999997</v>
      </c>
      <c r="N133" s="5">
        <v>106.5</v>
      </c>
      <c r="O133" s="5">
        <v>69</v>
      </c>
      <c r="P133" s="5">
        <v>190.4</v>
      </c>
      <c r="Q133" s="5">
        <v>2.91</v>
      </c>
      <c r="R133" s="5">
        <v>13.1</v>
      </c>
      <c r="S133" s="6">
        <v>41247</v>
      </c>
    </row>
    <row r="134" spans="1:19" x14ac:dyDescent="0.25">
      <c r="A134" s="3" t="s">
        <v>192</v>
      </c>
      <c r="B134" s="4" t="s">
        <v>193</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35</v>
      </c>
      <c r="L134" s="5">
        <v>25</v>
      </c>
      <c r="M134" s="5">
        <v>67.765907600000006</v>
      </c>
      <c r="N134" s="5">
        <v>103.5</v>
      </c>
      <c r="O134" s="5">
        <v>67.5</v>
      </c>
      <c r="P134" s="5">
        <v>185.8</v>
      </c>
      <c r="Q134" s="5">
        <v>3.415</v>
      </c>
      <c r="R134" s="5">
        <v>16.899999999999999</v>
      </c>
      <c r="S134" s="6">
        <v>40731</v>
      </c>
    </row>
    <row r="135" spans="1:19" x14ac:dyDescent="0.25">
      <c r="A135" s="3" t="s">
        <v>192</v>
      </c>
      <c r="B135" s="4" t="s">
        <v>194</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57</v>
      </c>
      <c r="L135" s="5">
        <v>24</v>
      </c>
      <c r="M135" s="5">
        <v>66.762943309999997</v>
      </c>
      <c r="N135" s="5">
        <v>99.4</v>
      </c>
      <c r="O135" s="5">
        <v>68.3</v>
      </c>
      <c r="P135" s="5">
        <v>175.2</v>
      </c>
      <c r="Q135" s="5">
        <v>3.125</v>
      </c>
      <c r="R135" s="5">
        <v>15.9</v>
      </c>
      <c r="S135" s="6">
        <v>41162</v>
      </c>
    </row>
    <row r="136" spans="1:19" x14ac:dyDescent="0.25">
      <c r="A136" s="3" t="s">
        <v>195</v>
      </c>
      <c r="B136" s="4" t="s">
        <v>6</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35</v>
      </c>
      <c r="L136" s="5">
        <v>33</v>
      </c>
      <c r="M136" s="5">
        <v>47.96897242</v>
      </c>
      <c r="N136" s="5">
        <v>97</v>
      </c>
      <c r="O136" s="5">
        <v>66.7</v>
      </c>
      <c r="P136" s="5">
        <v>174</v>
      </c>
      <c r="Q136" s="5">
        <v>2.42</v>
      </c>
      <c r="R136" s="5">
        <v>13.2</v>
      </c>
      <c r="S136" s="6">
        <v>40644</v>
      </c>
    </row>
    <row r="137" spans="1:19" x14ac:dyDescent="0.25">
      <c r="A137" s="3" t="s">
        <v>195</v>
      </c>
      <c r="B137" s="4" t="s">
        <v>4</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35</v>
      </c>
      <c r="L137" s="5">
        <v>27</v>
      </c>
      <c r="M137" s="5">
        <v>54.372419649999998</v>
      </c>
      <c r="N137" s="5">
        <v>105.2</v>
      </c>
      <c r="O137" s="5">
        <v>70.099999999999994</v>
      </c>
      <c r="P137" s="5">
        <v>188.5</v>
      </c>
      <c r="Q137" s="5">
        <v>2.9980000000000002</v>
      </c>
      <c r="R137" s="5">
        <v>18.5</v>
      </c>
      <c r="S137" s="6">
        <v>40584</v>
      </c>
    </row>
    <row r="138" spans="1:19" x14ac:dyDescent="0.25">
      <c r="A138" s="3" t="s">
        <v>195</v>
      </c>
      <c r="B138" s="4" t="s">
        <v>3</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35</v>
      </c>
      <c r="L138" s="5">
        <v>26</v>
      </c>
      <c r="M138" s="5">
        <v>84.911898260000001</v>
      </c>
      <c r="N138" s="5">
        <v>107.1</v>
      </c>
      <c r="O138" s="5">
        <v>71.7</v>
      </c>
      <c r="P138" s="5">
        <v>191.9</v>
      </c>
      <c r="Q138" s="5">
        <v>3.4169999999999998</v>
      </c>
      <c r="R138" s="5">
        <v>18.5</v>
      </c>
      <c r="S138" s="6">
        <v>40786</v>
      </c>
    </row>
    <row r="139" spans="1:19" x14ac:dyDescent="0.25">
      <c r="A139" s="3" t="s">
        <v>195</v>
      </c>
      <c r="B139" s="4" t="s">
        <v>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35</v>
      </c>
      <c r="L139" s="5">
        <v>31</v>
      </c>
      <c r="M139" s="5">
        <v>56.496030339999997</v>
      </c>
      <c r="N139" s="5">
        <v>102.4</v>
      </c>
      <c r="O139" s="5">
        <v>68.3</v>
      </c>
      <c r="P139" s="5">
        <v>170.5</v>
      </c>
      <c r="Q139" s="5">
        <v>2.4249999999999998</v>
      </c>
      <c r="R139" s="5">
        <v>14.5</v>
      </c>
      <c r="S139" s="6">
        <v>41272</v>
      </c>
    </row>
    <row r="140" spans="1:19" x14ac:dyDescent="0.25">
      <c r="A140" s="3" t="s">
        <v>195</v>
      </c>
      <c r="B140" s="4" t="s">
        <v>10</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57</v>
      </c>
      <c r="L140" s="5">
        <v>23</v>
      </c>
      <c r="M140" s="5">
        <v>55.297116580000001</v>
      </c>
      <c r="N140" s="5">
        <v>103.3</v>
      </c>
      <c r="O140" s="5">
        <v>66.5</v>
      </c>
      <c r="P140" s="5">
        <v>178.7</v>
      </c>
      <c r="Q140" s="5">
        <v>2.58</v>
      </c>
      <c r="R140" s="5">
        <v>15.1</v>
      </c>
      <c r="S140" s="6">
        <v>40756</v>
      </c>
    </row>
    <row r="141" spans="1:19" x14ac:dyDescent="0.25">
      <c r="A141" s="3" t="s">
        <v>195</v>
      </c>
      <c r="B141" s="4" t="s">
        <v>9</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57</v>
      </c>
      <c r="L141" s="5">
        <v>22</v>
      </c>
      <c r="M141" s="5">
        <v>78.027219470000006</v>
      </c>
      <c r="N141" s="5">
        <v>114.2</v>
      </c>
      <c r="O141" s="5">
        <v>73.400000000000006</v>
      </c>
      <c r="P141" s="5">
        <v>193.5</v>
      </c>
      <c r="Q141" s="5">
        <v>3.7589999999999999</v>
      </c>
      <c r="R141" s="5">
        <v>20.9</v>
      </c>
      <c r="S141" s="6">
        <v>41187</v>
      </c>
    </row>
    <row r="142" spans="1:19" x14ac:dyDescent="0.25">
      <c r="A142" s="3" t="s">
        <v>195</v>
      </c>
      <c r="B142" s="4" t="s">
        <v>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57</v>
      </c>
      <c r="L142" s="5">
        <v>27</v>
      </c>
      <c r="M142" s="5">
        <v>51.955108869999997</v>
      </c>
      <c r="N142" s="5">
        <v>94.9</v>
      </c>
      <c r="O142" s="5">
        <v>66.7</v>
      </c>
      <c r="P142" s="5">
        <v>163.80000000000001</v>
      </c>
      <c r="Q142" s="5">
        <v>2.6680000000000001</v>
      </c>
      <c r="R142" s="5">
        <v>15.3</v>
      </c>
      <c r="S142" s="6">
        <v>40669</v>
      </c>
    </row>
    <row r="143" spans="1:19" x14ac:dyDescent="0.25">
      <c r="A143" s="3" t="s">
        <v>195</v>
      </c>
      <c r="B143" s="4" t="s">
        <v>2</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57</v>
      </c>
      <c r="L143" s="5">
        <v>23</v>
      </c>
      <c r="M143" s="5">
        <v>62.35557713</v>
      </c>
      <c r="N143" s="5">
        <v>105.3</v>
      </c>
      <c r="O143" s="5">
        <v>66.5</v>
      </c>
      <c r="P143" s="5">
        <v>183.3</v>
      </c>
      <c r="Q143" s="5">
        <v>3.44</v>
      </c>
      <c r="R143" s="5">
        <v>18.5</v>
      </c>
      <c r="S143" s="6">
        <v>40609</v>
      </c>
    </row>
    <row r="144" spans="1:19" x14ac:dyDescent="0.25">
      <c r="A144" s="3" t="s">
        <v>195</v>
      </c>
      <c r="B144" s="4" t="s">
        <v>7</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57</v>
      </c>
      <c r="L144" s="5">
        <v>15</v>
      </c>
      <c r="M144" s="5">
        <v>102.5289842</v>
      </c>
      <c r="N144" s="5">
        <v>112.2</v>
      </c>
      <c r="O144" s="5">
        <v>76.400000000000006</v>
      </c>
      <c r="P144" s="5">
        <v>192.5</v>
      </c>
      <c r="Q144" s="5">
        <v>5.1150000000000002</v>
      </c>
      <c r="R144" s="5">
        <v>25.4</v>
      </c>
      <c r="S144" s="6">
        <v>40811</v>
      </c>
    </row>
    <row r="145" spans="1:19" x14ac:dyDescent="0.25">
      <c r="A145" s="3" t="s">
        <v>196</v>
      </c>
      <c r="B145" s="4" t="s">
        <v>197</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35</v>
      </c>
      <c r="L145" s="5">
        <v>26</v>
      </c>
      <c r="M145" s="5">
        <v>46.943876760000002</v>
      </c>
      <c r="N145" s="5">
        <v>98.9</v>
      </c>
      <c r="O145" s="5">
        <v>68.3</v>
      </c>
      <c r="P145" s="5">
        <v>163.30000000000001</v>
      </c>
      <c r="Q145" s="5">
        <v>2.7669999999999999</v>
      </c>
      <c r="R145" s="5">
        <v>14.5</v>
      </c>
      <c r="S145" s="6">
        <v>40567</v>
      </c>
    </row>
    <row r="146" spans="1:19" x14ac:dyDescent="0.25">
      <c r="A146" s="3" t="s">
        <v>196</v>
      </c>
      <c r="B146" s="4" t="s">
        <v>198</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35</v>
      </c>
      <c r="L146" s="5">
        <v>26</v>
      </c>
      <c r="M146" s="5">
        <v>47.638236659999997</v>
      </c>
      <c r="N146" s="5">
        <v>98.9</v>
      </c>
      <c r="O146" s="5">
        <v>68.3</v>
      </c>
      <c r="P146" s="5">
        <v>172.3</v>
      </c>
      <c r="Q146" s="5">
        <v>2.8530000000000002</v>
      </c>
      <c r="R146" s="5">
        <v>14.5</v>
      </c>
      <c r="S146" s="6">
        <v>40782</v>
      </c>
    </row>
    <row r="147" spans="1:19" x14ac:dyDescent="0.25">
      <c r="A147" s="3" t="s">
        <v>196</v>
      </c>
      <c r="B147" s="4" t="s">
        <v>199</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35</v>
      </c>
      <c r="L147" s="5">
        <v>27</v>
      </c>
      <c r="M147" s="5">
        <v>61.701381359999999</v>
      </c>
      <c r="N147" s="5">
        <v>106.4</v>
      </c>
      <c r="O147" s="5">
        <v>68.5</v>
      </c>
      <c r="P147" s="5">
        <v>184.1</v>
      </c>
      <c r="Q147" s="5">
        <v>3.0430000000000001</v>
      </c>
      <c r="R147" s="5">
        <v>16.399999999999999</v>
      </c>
      <c r="S147" s="6">
        <v>41212</v>
      </c>
    </row>
    <row r="148" spans="1:19" x14ac:dyDescent="0.25">
      <c r="A148" s="3" t="s">
        <v>196</v>
      </c>
      <c r="B148" s="4" t="s">
        <v>200</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35</v>
      </c>
      <c r="L148" s="5">
        <v>26</v>
      </c>
      <c r="M148" s="5">
        <v>48.907372250000002</v>
      </c>
      <c r="N148" s="5">
        <v>97.4</v>
      </c>
      <c r="O148" s="5">
        <v>66.7</v>
      </c>
      <c r="P148" s="5">
        <v>160.4</v>
      </c>
      <c r="Q148" s="5">
        <v>3.0790000000000002</v>
      </c>
      <c r="R148" s="5">
        <v>13.7</v>
      </c>
      <c r="S148" s="6">
        <v>40694</v>
      </c>
    </row>
    <row r="149" spans="1:19" x14ac:dyDescent="0.25">
      <c r="A149" s="3" t="s">
        <v>196</v>
      </c>
      <c r="B149" s="4" t="s">
        <v>201</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35</v>
      </c>
      <c r="L149" s="5">
        <v>26</v>
      </c>
      <c r="M149" s="5">
        <v>47.946841059999997</v>
      </c>
      <c r="N149" s="5">
        <v>98.9</v>
      </c>
      <c r="O149" s="5">
        <v>68.3</v>
      </c>
      <c r="P149" s="5">
        <v>163.30000000000001</v>
      </c>
      <c r="Q149" s="5">
        <v>2.762</v>
      </c>
      <c r="R149" s="5">
        <v>14.6</v>
      </c>
      <c r="S149" s="6">
        <v>40634</v>
      </c>
    </row>
    <row r="150" spans="1:19" x14ac:dyDescent="0.25">
      <c r="A150" s="3" t="s">
        <v>196</v>
      </c>
      <c r="B150" s="4" t="s">
        <v>202</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35</v>
      </c>
      <c r="L150" s="5">
        <v>26</v>
      </c>
      <c r="M150" s="5">
        <v>47.329632259999997</v>
      </c>
      <c r="N150" s="5">
        <v>98.9</v>
      </c>
      <c r="O150" s="5">
        <v>67.900000000000006</v>
      </c>
      <c r="P150" s="5">
        <v>161.1</v>
      </c>
      <c r="Q150" s="5">
        <v>2.7690000000000001</v>
      </c>
      <c r="R150" s="5">
        <v>14.5</v>
      </c>
      <c r="S150" s="6">
        <v>40836</v>
      </c>
    </row>
    <row r="151" spans="1:19" x14ac:dyDescent="0.25">
      <c r="A151" s="3" t="s">
        <v>203</v>
      </c>
      <c r="B151" s="4" t="s">
        <v>204</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35</v>
      </c>
      <c r="L151" s="5">
        <v>25</v>
      </c>
      <c r="M151" s="5">
        <v>66.113056799999995</v>
      </c>
      <c r="N151" s="5">
        <v>100.5</v>
      </c>
      <c r="O151" s="5">
        <v>67.599999999999994</v>
      </c>
      <c r="P151" s="5">
        <v>176.6</v>
      </c>
      <c r="Q151" s="5">
        <v>2.9980000000000002</v>
      </c>
      <c r="R151" s="5">
        <v>15.8</v>
      </c>
      <c r="S151" s="6">
        <v>40592</v>
      </c>
    </row>
    <row r="152" spans="1:19" x14ac:dyDescent="0.25">
      <c r="A152" s="3" t="s">
        <v>203</v>
      </c>
      <c r="B152" s="4" t="s">
        <v>205</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35</v>
      </c>
      <c r="L152" s="5">
        <v>25</v>
      </c>
      <c r="M152" s="5">
        <v>66.498812299999997</v>
      </c>
      <c r="N152" s="5">
        <v>100.5</v>
      </c>
      <c r="O152" s="5">
        <v>67.599999999999994</v>
      </c>
      <c r="P152" s="5">
        <v>176.6</v>
      </c>
      <c r="Q152" s="5">
        <v>3.0419999999999998</v>
      </c>
      <c r="R152" s="5">
        <v>15.8</v>
      </c>
      <c r="S152" s="6">
        <v>40807</v>
      </c>
    </row>
    <row r="153" spans="1:19" x14ac:dyDescent="0.25">
      <c r="A153" s="3" t="s">
        <v>203</v>
      </c>
      <c r="B153" s="4" t="s">
        <v>206</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35</v>
      </c>
      <c r="L153" s="5">
        <v>25</v>
      </c>
      <c r="M153" s="5">
        <v>70.654495449999999</v>
      </c>
      <c r="N153" s="5">
        <v>104.9</v>
      </c>
      <c r="O153" s="5">
        <v>69.3</v>
      </c>
      <c r="P153" s="5">
        <v>185.9</v>
      </c>
      <c r="Q153" s="5">
        <v>3.2080000000000002</v>
      </c>
      <c r="R153" s="5">
        <v>17.899999999999999</v>
      </c>
      <c r="S153" s="6">
        <v>41237</v>
      </c>
    </row>
    <row r="154" spans="1:19" x14ac:dyDescent="0.25">
      <c r="A154" s="3" t="s">
        <v>203</v>
      </c>
      <c r="B154" s="4" t="s">
        <v>207</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35</v>
      </c>
      <c r="L154" s="5">
        <v>25</v>
      </c>
      <c r="M154" s="5">
        <v>71.1559776</v>
      </c>
      <c r="N154" s="5">
        <v>104.9</v>
      </c>
      <c r="O154" s="5">
        <v>69.3</v>
      </c>
      <c r="P154" s="5">
        <v>186.2</v>
      </c>
      <c r="Q154" s="5">
        <v>3.2589999999999999</v>
      </c>
      <c r="R154" s="5">
        <v>17.899999999999999</v>
      </c>
      <c r="S154" s="6">
        <v>40719</v>
      </c>
    </row>
    <row r="155" spans="1:19" x14ac:dyDescent="0.25">
      <c r="A155" s="3" t="s">
        <v>203</v>
      </c>
      <c r="B155" s="4" t="s">
        <v>208</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35</v>
      </c>
      <c r="L155" s="5">
        <v>23</v>
      </c>
      <c r="M155" s="5">
        <v>101.6233572</v>
      </c>
      <c r="N155" s="5">
        <v>104.9</v>
      </c>
      <c r="O155" s="5">
        <v>71.5</v>
      </c>
      <c r="P155" s="5">
        <v>185.7</v>
      </c>
      <c r="Q155" s="5">
        <v>3.601</v>
      </c>
      <c r="R155" s="5">
        <v>18.5</v>
      </c>
      <c r="S155" s="6">
        <v>40659</v>
      </c>
    </row>
    <row r="156" spans="1:19" x14ac:dyDescent="0.25">
      <c r="A156" s="3" t="s">
        <v>203</v>
      </c>
      <c r="B156" s="4" t="s">
        <v>209</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35</v>
      </c>
      <c r="L156" s="5">
        <v>24</v>
      </c>
      <c r="M156" s="5">
        <v>85.735654510000003</v>
      </c>
      <c r="N156" s="5">
        <v>109.9</v>
      </c>
      <c r="O156" s="5">
        <v>72.099999999999994</v>
      </c>
      <c r="P156" s="5">
        <v>189.8</v>
      </c>
      <c r="Q156" s="5">
        <v>3.6</v>
      </c>
      <c r="R156" s="5">
        <v>21.1</v>
      </c>
      <c r="S156" s="6">
        <v>40861</v>
      </c>
    </row>
  </sheetData>
  <conditionalFormatting sqref="G2:G156">
    <cfRule type="containsText" dxfId="1" priority="3" operator="containsText" text="POOR">
      <formula>NOT(ISERROR(SEARCH("POOR",G2)))</formula>
    </cfRule>
    <cfRule type="containsText" dxfId="0"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ABEF-AD53-4BA9-A03A-3806F2A471D2}">
  <dimension ref="A3:B11"/>
  <sheetViews>
    <sheetView workbookViewId="0">
      <selection activeCell="L15" sqref="L15"/>
    </sheetView>
  </sheetViews>
  <sheetFormatPr defaultRowHeight="15" x14ac:dyDescent="0.25"/>
  <cols>
    <col min="1" max="1" width="13.140625" bestFit="1" customWidth="1"/>
    <col min="2" max="2" width="16.5703125" bestFit="1" customWidth="1"/>
    <col min="3" max="3" width="12" bestFit="1" customWidth="1"/>
  </cols>
  <sheetData>
    <row r="3" spans="1:2" x14ac:dyDescent="0.25">
      <c r="A3" s="15" t="s">
        <v>0</v>
      </c>
      <c r="B3" t="s">
        <v>211</v>
      </c>
    </row>
    <row r="4" spans="1:2" x14ac:dyDescent="0.25">
      <c r="A4" s="16" t="s">
        <v>155</v>
      </c>
      <c r="B4" s="20">
        <v>88094</v>
      </c>
    </row>
    <row r="5" spans="1:2" x14ac:dyDescent="0.25">
      <c r="A5" s="16" t="s">
        <v>160</v>
      </c>
      <c r="B5" s="20">
        <v>65004.999999999993</v>
      </c>
    </row>
    <row r="6" spans="1:2" x14ac:dyDescent="0.25">
      <c r="A6" s="16" t="s">
        <v>156</v>
      </c>
      <c r="B6" s="20">
        <v>79853</v>
      </c>
    </row>
    <row r="7" spans="1:2" x14ac:dyDescent="0.25">
      <c r="A7" s="16" t="s">
        <v>158</v>
      </c>
      <c r="B7" s="20">
        <v>42574</v>
      </c>
    </row>
    <row r="8" spans="1:2" x14ac:dyDescent="0.25">
      <c r="A8" s="16" t="s">
        <v>157</v>
      </c>
      <c r="B8" s="20">
        <v>27308</v>
      </c>
    </row>
    <row r="9" spans="1:2" x14ac:dyDescent="0.25">
      <c r="A9" s="16" t="s">
        <v>154</v>
      </c>
      <c r="B9" s="20">
        <v>42643</v>
      </c>
    </row>
    <row r="10" spans="1:2" x14ac:dyDescent="0.25">
      <c r="A10" s="16" t="s">
        <v>159</v>
      </c>
      <c r="B10" s="20">
        <v>54158</v>
      </c>
    </row>
    <row r="11" spans="1:2" x14ac:dyDescent="0.25">
      <c r="A11" s="16" t="s">
        <v>11</v>
      </c>
      <c r="B11" s="20">
        <v>399635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ED25-35C0-4A14-B6C8-A021E283607D}">
  <dimension ref="A1"/>
  <sheetViews>
    <sheetView tabSelected="1" zoomScale="70" zoomScaleNormal="70" workbookViewId="0">
      <selection activeCell="U8" sqref="U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Line Chart</vt:lpstr>
      <vt:lpstr>Bar Chart</vt:lpstr>
      <vt:lpstr>Engine size</vt:lpstr>
      <vt:lpstr>Car_sales</vt:lpstr>
      <vt:lpstr>Unit Sales</vt:lpstr>
      <vt:lpstr>Car_sales_Dashboard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cho philip che</cp:lastModifiedBy>
  <cp:revision/>
  <dcterms:created xsi:type="dcterms:W3CDTF">2020-05-21T14:49:04Z</dcterms:created>
  <dcterms:modified xsi:type="dcterms:W3CDTF">2026-02-25T23:22:14Z</dcterms:modified>
  <cp:category/>
  <cp:contentStatus/>
</cp:coreProperties>
</file>